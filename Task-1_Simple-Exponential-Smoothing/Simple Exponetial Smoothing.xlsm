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rath-my.sharepoint.com/personal/nguyen-minh-chau_2023_uni_strath_ac_uk/Documents/6. MS924-Spreedsheet Modelling/Assignment briefing and examples-20231019/"/>
    </mc:Choice>
  </mc:AlternateContent>
  <xr:revisionPtr revIDLastSave="122" documentId="8_{4B6BD98E-4FEC-40A0-B3F0-4FE689A3B833}" xr6:coauthVersionLast="47" xr6:coauthVersionMax="47" xr10:uidLastSave="{EFF11CBE-5174-4C6C-A6FB-24A7B14A3B12}"/>
  <bookViews>
    <workbookView xWindow="-120" yWindow="-120" windowWidth="29040" windowHeight="15840" xr2:uid="{02531D91-8F87-4510-913C-7D3A57FE75F0}"/>
  </bookViews>
  <sheets>
    <sheet name="Data" sheetId="2" r:id="rId1"/>
  </sheets>
  <functionGroups builtInGroupCount="19"/>
  <definedNames>
    <definedName name="CIQWBGuid" hidden="1">"88566fd8-e473-4172-88ea-bc2455aafd25"</definedName>
    <definedName name="CIQWBInfo" hidden="1">"{ ""CIQVersion"":""9.50.2716.4594"" }"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" l="1"/>
  <c r="C3" i="2" a="1"/>
  <c r="C14" i="2" a="1"/>
  <c r="C9" i="2" a="1"/>
  <c r="C13" i="2" a="1"/>
  <c r="C11" i="2" a="1"/>
  <c r="C4" i="2" a="1"/>
  <c r="C5" i="2" a="1"/>
  <c r="C12" i="2" a="1"/>
  <c r="C6" i="2" a="1"/>
  <c r="C10" i="2" a="1"/>
  <c r="C7" i="2" a="1"/>
  <c r="C8" i="2" a="1"/>
  <c r="C2" i="2" a="1"/>
  <c r="C2" i="2" l="1"/>
  <c r="C8" i="2"/>
  <c r="C7" i="2"/>
  <c r="C10" i="2"/>
  <c r="C6" i="2"/>
  <c r="C12" i="2"/>
  <c r="C5" i="2"/>
  <c r="C4" i="2"/>
  <c r="C11" i="2"/>
  <c r="C13" i="2"/>
  <c r="C9" i="2"/>
  <c r="C14" i="2"/>
  <c r="C3" i="2"/>
  <c r="D9" i="2" a="1"/>
  <c r="D7" i="2" a="1"/>
  <c r="D6" i="2" a="1"/>
  <c r="D12" i="2" a="1"/>
  <c r="D10" i="2" a="1"/>
  <c r="D3" i="2" a="1"/>
  <c r="D8" i="2" a="1"/>
  <c r="D11" i="2" a="1"/>
  <c r="D13" i="2" a="1"/>
  <c r="D4" i="2" a="1"/>
  <c r="D5" i="2" a="1"/>
  <c r="D5" i="2" l="1"/>
  <c r="D4" i="2"/>
  <c r="D13" i="2"/>
  <c r="D11" i="2"/>
  <c r="D8" i="2"/>
  <c r="D3" i="2"/>
  <c r="D10" i="2"/>
  <c r="D12" i="2"/>
  <c r="D6" i="2"/>
  <c r="D7" i="2"/>
  <c r="D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<sst xmlns="http://schemas.openxmlformats.org/spreadsheetml/2006/main" count="7" uniqueCount="7">
  <si>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Source</t>
  </si>
  <si>
    <t>Statista</t>
  </si>
  <si>
    <t>Month</t>
  </si>
  <si>
    <t>Average Daily Temperature</t>
  </si>
  <si>
    <t>Monthly average daily temperatures in the United Kingdom in 2022</t>
  </si>
  <si>
    <t>Simple Exponential Smoothing</t>
  </si>
  <si>
    <r>
      <t xml:space="preserve">Function </t>
    </r>
    <r>
      <rPr>
        <b/>
        <sz val="11"/>
        <color theme="1"/>
        <rFont val="Calibri"/>
        <family val="2"/>
        <scheme val="minor"/>
      </rPr>
      <t>simpleES (dataRange, alpha, initialLevel)</t>
    </r>
    <r>
      <rPr>
        <sz val="11"/>
        <color theme="1"/>
        <rFont val="Calibri"/>
        <family val="2"/>
        <scheme val="minor"/>
      </rPr>
      <t xml:space="preserve">
The function takes 3 arguments: 
- dataRange: the range containing the actual data (on this sheet B2:B13)
- alpha: smoothing parameter (0.2)
- initialLevel: the initial forecast value (B2)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</si>
</sst>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4" fillId="0" borderId="0" xfId="1" applyFont="1"/>
    <xf numFmtId="17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/>
    <xf numFmtId="17" fontId="1" fillId="2" borderId="0" xfId="0" applyNumberFormat="1" applyFont="1" applyFill="1"/>
    <xf numFmtId="0" fontId="0" fillId="2" borderId="0" xfId="0" applyFill="1"/>
    <xf numFmtId="165" fontId="1" fillId="2" borderId="0" xfId="0" applyNumberFormat="1" applyFont="1" applyFill="1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ista.com/statistics/322658/monthly-average-daily-temperatures-in-the-united-kingdom-u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76E77-84D5-482E-B31E-A6B04C082FEB}">
  <sheetPr codeName="Sheet1"/>
  <dimension ref="A1:L19"/>
  <sheetViews>
    <sheetView tabSelected="1" workbookViewId="0">
      <selection activeCell="E14" sqref="E14"/>
    </sheetView>
  </sheetViews>
  <sheetFormatPr defaultRowHeight="15" x14ac:dyDescent="0.25"/>
  <cols>
    <col min="2" max="2" width="15.140625" customWidth="1"/>
    <col min="3" max="3" width="17.7109375" customWidth="1"/>
  </cols>
  <sheetData>
    <row r="1" spans="1:12" ht="45.75" thickBot="1" x14ac:dyDescent="0.3">
      <c r="A1" s="2" t="s">
        <v>2</v>
      </c>
      <c r="B1" s="2" t="s">
        <v>3</v>
      </c>
      <c r="C1" s="2" t="s">
        <v>5</v>
      </c>
    </row>
    <row r="2" spans="1:12" ht="14.45" customHeight="1" x14ac:dyDescent="0.25">
      <c r="A2" s="5">
        <v>44562</v>
      </c>
      <c r="B2" s="6">
        <v>5.2</v>
      </c>
      <c r="C2" s="7" cm="1">
        <f t="array" ref="C2">simpleES($B$2:$B$13,0.2,$B$2)</f>
        <v>5.2</v>
      </c>
      <c r="H2" s="12" t="s">
        <v>6</v>
      </c>
      <c r="I2" s="13"/>
      <c r="J2" s="13"/>
      <c r="K2" s="13"/>
      <c r="L2" s="14"/>
    </row>
    <row r="3" spans="1:12" x14ac:dyDescent="0.25">
      <c r="A3" s="5">
        <v>44593</v>
      </c>
      <c r="B3" s="6">
        <v>6.8</v>
      </c>
      <c r="C3" s="7" cm="1">
        <f t="array" ref="C3">simpleES($B$2:$B$13,0.2,$B$2)</f>
        <v>5.2</v>
      </c>
      <c r="D3" cm="1">
        <f t="array" ref="D3">simpleES(B2:B3,0.2,C2)</f>
        <v>5.2</v>
      </c>
      <c r="H3" s="15"/>
      <c r="I3" s="16"/>
      <c r="J3" s="16"/>
      <c r="K3" s="16"/>
      <c r="L3" s="17"/>
    </row>
    <row r="4" spans="1:12" x14ac:dyDescent="0.25">
      <c r="A4" s="5">
        <v>44621</v>
      </c>
      <c r="B4" s="6">
        <v>7.7</v>
      </c>
      <c r="C4" s="7" cm="1">
        <f t="array" ref="C4">simpleES($B$2:$B$13,0.2,$B$2)</f>
        <v>5.5200000000000005</v>
      </c>
      <c r="D4" cm="1">
        <f t="array" ref="D4">simpleES(B3:B4,0.2,C3)</f>
        <v>5.5200000000000005</v>
      </c>
      <c r="H4" s="15"/>
      <c r="I4" s="16"/>
      <c r="J4" s="16"/>
      <c r="K4" s="16"/>
      <c r="L4" s="17"/>
    </row>
    <row r="5" spans="1:12" x14ac:dyDescent="0.25">
      <c r="A5" s="5">
        <v>44652</v>
      </c>
      <c r="B5" s="6">
        <v>9.1</v>
      </c>
      <c r="C5" s="7" cm="1">
        <f t="array" ref="C5">simpleES($B$2:$B$13,0.2,$B$2)</f>
        <v>5.9560000000000004</v>
      </c>
      <c r="D5" cm="1">
        <f t="array" ref="D5">simpleES(B4:B5,0.2,C4)</f>
        <v>5.9560000000000004</v>
      </c>
      <c r="H5" s="15"/>
      <c r="I5" s="16"/>
      <c r="J5" s="16"/>
      <c r="K5" s="16"/>
      <c r="L5" s="17"/>
    </row>
    <row r="6" spans="1:12" x14ac:dyDescent="0.25">
      <c r="A6" s="5">
        <v>44682</v>
      </c>
      <c r="B6" s="6">
        <v>13</v>
      </c>
      <c r="C6" s="7" cm="1">
        <f t="array" ref="C6">simpleES($B$2:$B$13,0.2,$B$2)</f>
        <v>6.5848000000000004</v>
      </c>
      <c r="D6" cm="1">
        <f t="array" ref="D6">simpleES(B5:B6,0.2,C5)</f>
        <v>6.5848000000000004</v>
      </c>
      <c r="H6" s="15"/>
      <c r="I6" s="16"/>
      <c r="J6" s="16"/>
      <c r="K6" s="16"/>
      <c r="L6" s="17"/>
    </row>
    <row r="7" spans="1:12" x14ac:dyDescent="0.25">
      <c r="A7" s="5">
        <v>44713</v>
      </c>
      <c r="B7" s="6">
        <v>15.1</v>
      </c>
      <c r="C7" s="7" cm="1">
        <f t="array" ref="C7">simpleES($B$2:$B$13,0.2,$B$2)</f>
        <v>7.8678400000000002</v>
      </c>
      <c r="D7" cm="1">
        <f t="array" ref="D7">simpleES(B6:B7,0.2,C6)</f>
        <v>7.8678400000000002</v>
      </c>
      <c r="H7" s="15"/>
      <c r="I7" s="16"/>
      <c r="J7" s="16"/>
      <c r="K7" s="16"/>
      <c r="L7" s="17"/>
    </row>
    <row r="8" spans="1:12" x14ac:dyDescent="0.25">
      <c r="A8" s="5">
        <v>44743</v>
      </c>
      <c r="B8" s="6">
        <v>18.2</v>
      </c>
      <c r="C8" s="7" cm="1">
        <f t="array" ref="C8">simpleES($B$2:$B$13,0.2,$B$2)</f>
        <v>9.3142720000000008</v>
      </c>
      <c r="D8" cm="1">
        <f t="array" ref="D8">simpleES(B7:B8,0.2,C7)</f>
        <v>9.3142720000000008</v>
      </c>
      <c r="H8" s="15"/>
      <c r="I8" s="16"/>
      <c r="J8" s="16"/>
      <c r="K8" s="16"/>
      <c r="L8" s="17"/>
    </row>
    <row r="9" spans="1:12" x14ac:dyDescent="0.25">
      <c r="A9" s="5">
        <v>44774</v>
      </c>
      <c r="B9" s="6">
        <v>18.3</v>
      </c>
      <c r="C9" s="7" cm="1">
        <f t="array" ref="C9">simpleES($B$2:$B$13,0.2,$B$2)</f>
        <v>11.0914176</v>
      </c>
      <c r="D9" cm="1">
        <f t="array" ref="D9">simpleES(B8:B9,0.2,C8)</f>
        <v>11.0914176</v>
      </c>
      <c r="H9" s="15"/>
      <c r="I9" s="16"/>
      <c r="J9" s="16"/>
      <c r="K9" s="16"/>
      <c r="L9" s="17"/>
    </row>
    <row r="10" spans="1:12" x14ac:dyDescent="0.25">
      <c r="A10" s="5">
        <v>44805</v>
      </c>
      <c r="B10" s="6">
        <v>14.5</v>
      </c>
      <c r="C10" s="7" cm="1">
        <f t="array" ref="C10">simpleES($B$2:$B$13,0.2,$B$2)</f>
        <v>12.53313408</v>
      </c>
      <c r="D10" cm="1">
        <f t="array" ref="D10">simpleES(B9:B10,0.2,C9)</f>
        <v>12.53313408</v>
      </c>
      <c r="H10" s="15"/>
      <c r="I10" s="16"/>
      <c r="J10" s="16"/>
      <c r="K10" s="16"/>
      <c r="L10" s="17"/>
    </row>
    <row r="11" spans="1:12" ht="15.75" thickBot="1" x14ac:dyDescent="0.3">
      <c r="A11" s="5">
        <v>44835</v>
      </c>
      <c r="B11" s="6">
        <v>12.7</v>
      </c>
      <c r="C11" s="7" cm="1">
        <f t="array" ref="C11">simpleES($B$2:$B$13,0.2,$B$2)</f>
        <v>12.926507264</v>
      </c>
      <c r="D11" cm="1">
        <f t="array" ref="D11">simpleES(B10:B11,0.2,C10)</f>
        <v>12.926507264</v>
      </c>
      <c r="H11" s="18"/>
      <c r="I11" s="19"/>
      <c r="J11" s="19"/>
      <c r="K11" s="19"/>
      <c r="L11" s="20"/>
    </row>
    <row r="12" spans="1:12" x14ac:dyDescent="0.25">
      <c r="A12" s="5">
        <v>44866</v>
      </c>
      <c r="B12" s="6">
        <v>9.1</v>
      </c>
      <c r="C12" s="7" cm="1">
        <f t="array" ref="C12">simpleES($B$2:$B$13,0.2,$B$2)</f>
        <v>12.881205811199999</v>
      </c>
      <c r="D12" cm="1">
        <f t="array" ref="D12">simpleES(B11:B12,0.2,C11)</f>
        <v>12.881205811199999</v>
      </c>
      <c r="H12" s="11"/>
      <c r="I12" s="11"/>
      <c r="J12" s="11"/>
      <c r="K12" s="11"/>
      <c r="L12" s="11"/>
    </row>
    <row r="13" spans="1:12" x14ac:dyDescent="0.25">
      <c r="A13" s="5">
        <v>44896</v>
      </c>
      <c r="B13" s="6">
        <v>4</v>
      </c>
      <c r="C13" s="7" cm="1">
        <f t="array" ref="C13">simpleES($B$2:$B$13,0.2,$B$2)</f>
        <v>12.124964648959999</v>
      </c>
      <c r="D13" cm="1">
        <f t="array" ref="D13">simpleES(B12:B13,0.2,C12)</f>
        <v>12.124964648959999</v>
      </c>
    </row>
    <row r="14" spans="1:12" x14ac:dyDescent="0.25">
      <c r="A14" s="8">
        <v>44927</v>
      </c>
      <c r="B14" s="9"/>
      <c r="C14" s="10" cm="1">
        <f t="array" ref="C14">simpleES(B2:B13,0.2,B2)</f>
        <v>10.499971719167998</v>
      </c>
      <c r="E14">
        <f>C13*0.2*(B13-C13)</f>
        <v>-19.702981828537936</v>
      </c>
    </row>
    <row r="18" spans="1:2" x14ac:dyDescent="0.25">
      <c r="A18" s="3" t="s">
        <v>4</v>
      </c>
      <c r="B18" s="1"/>
    </row>
    <row r="19" spans="1:2" x14ac:dyDescent="0.25">
      <c r="A19" t="s">
        <v>0</v>
      </c>
      <c r="B19" s="4" t="s">
        <v>1</v>
      </c>
    </row>
  </sheetData>
  <mergeCells count="1">
    <mergeCell ref="H2:L11"/>
  </mergeCells>
  <hyperlinks>
    <hyperlink ref="B19" r:id="rId1" display="https://www.statista.com/statistics/322658/monthly-average-daily-temperatures-in-the-united-kingdom-uk/" xr:uid="{FF5D6A3F-E1A3-4BE7-A84C-9A52442BD22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Minh Chau (Student)</dc:creator>
  <cp:lastModifiedBy>Nguyen Minh Chau (Student)</cp:lastModifiedBy>
  <dcterms:created xsi:type="dcterms:W3CDTF">2023-11-07T19:02:33Z</dcterms:created>
  <dcterms:modified xsi:type="dcterms:W3CDTF">2023-11-28T12:47:21Z</dcterms:modified>
</cp:coreProperties>
</file>