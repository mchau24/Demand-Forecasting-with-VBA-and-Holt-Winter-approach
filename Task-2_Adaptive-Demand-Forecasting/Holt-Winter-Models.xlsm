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slicers/slicer1.xml" ContentType="application/vnd.ms-excel.slicer+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https://strath-my.sharepoint.com/personal/nguyen-minh-chau_2023_uni_strath_ac_uk/Documents/[Semester 1]/6. MS924-Spreedsheet Modelling/Assignment briefing and examples-20231019/"/>
    </mc:Choice>
  </mc:AlternateContent>
  <xr:revisionPtr revIDLastSave="2770" documentId="8_{30FCCB56-1329-4339-B89B-20BDC4CFA49F}" xr6:coauthVersionLast="47" xr6:coauthVersionMax="47" xr10:uidLastSave="{1C72E1CD-91A2-4C28-99FE-C8ADD09212D4}"/>
  <bookViews>
    <workbookView xWindow="-108" yWindow="-108" windowWidth="23256" windowHeight="12456" firstSheet="1" activeTab="1" xr2:uid="{00000000-000D-0000-FFFF-FFFF00000000}"/>
  </bookViews>
  <sheets>
    <sheet name="Data input" sheetId="4" r:id="rId1"/>
    <sheet name="IT-updating model" sheetId="7" r:id="rId2"/>
    <sheet name="IT-base model" sheetId="6" r:id="rId3"/>
    <sheet name="Final table" sheetId="8" r:id="rId4"/>
    <sheet name="Visualisation" sheetId="9" r:id="rId5"/>
  </sheets>
  <definedNames>
    <definedName name="alpha">'IT-updating model'!$Q$2</definedName>
    <definedName name="alpha_1">#REF!</definedName>
    <definedName name="alpha1">#REF!</definedName>
    <definedName name="beta">'IT-updating model'!$Q$3</definedName>
    <definedName name="CIQWBGuid" hidden="1">"f07055f0-7848-470d-818d-07d131b10bbd"</definedName>
    <definedName name="CIQWBInfo" hidden="1">"{ ""CIQVersion"":""9.50.2716.4594"" }"</definedName>
    <definedName name="gamma">'IT-updating model'!$Q$4</definedName>
    <definedName name="Slicer_Category">#N/A</definedName>
    <definedName name="Slicer_Product">#N/A</definedName>
    <definedName name="Slicer_Quarter">#N/A</definedName>
    <definedName name="Slicer_Year">#N/A</definedName>
    <definedName name="solver_adj" localSheetId="1" hidden="1">'IT-updating model'!$Q$2:$Q$4</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'IT-updating model'!$Q$2:$Q$4</definedName>
    <definedName name="solver_lhs2" localSheetId="1" hidden="1">'IT-updating model'!$Q$2:$Q$4</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'IT-updating model'!$N$3</definedName>
    <definedName name="solver_pre" localSheetId="1" hidden="1">0.000001</definedName>
    <definedName name="solver_rbv" localSheetId="1" hidden="1">1</definedName>
    <definedName name="solver_rel1" localSheetId="1" hidden="1">1</definedName>
    <definedName name="solver_rel2" localSheetId="1" hidden="1">3</definedName>
    <definedName name="solver_rhs1" localSheetId="1" hidden="1">1</definedName>
    <definedName name="solver_rhs2" localSheetId="1" hidden="1">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6" l="1"/>
  <c r="F4" i="6"/>
  <c r="E2" i="8" l="1"/>
  <c r="E3" i="8"/>
  <c r="E4" i="8"/>
  <c r="E5" i="8"/>
  <c r="E6" i="8"/>
  <c r="E7" i="8"/>
  <c r="E8" i="8"/>
  <c r="E9" i="8"/>
  <c r="E10" i="8"/>
  <c r="E11" i="8"/>
  <c r="E12" i="8"/>
  <c r="E13" i="8"/>
  <c r="E14" i="8"/>
  <c r="E15" i="8"/>
  <c r="E16" i="8"/>
  <c r="E17" i="8"/>
  <c r="E18" i="8"/>
  <c r="E6" i="9" s="1"/>
  <c r="E19" i="8"/>
  <c r="E20" i="8"/>
  <c r="E21" i="8"/>
  <c r="D9" i="7"/>
  <c r="D8" i="7"/>
  <c r="D7" i="7"/>
  <c r="D3" i="7" l="1"/>
  <c r="D4" i="7"/>
  <c r="D5" i="7"/>
  <c r="D6" i="7"/>
  <c r="D2" i="7"/>
  <c r="F11" i="6" l="1"/>
  <c r="F12" i="6" l="1"/>
  <c r="G12" i="6" s="1"/>
  <c r="F10" i="6"/>
  <c r="G10" i="6" s="1"/>
  <c r="F9" i="6"/>
  <c r="F8" i="6"/>
  <c r="F7" i="6"/>
  <c r="F6" i="6"/>
  <c r="F5" i="6"/>
  <c r="G8" i="6" l="1"/>
  <c r="G9" i="6"/>
  <c r="G7" i="6"/>
  <c r="G6" i="6"/>
  <c r="G11" i="6"/>
  <c r="M4" i="6"/>
  <c r="H8" i="6" s="1"/>
  <c r="N4" i="6" l="1"/>
  <c r="H7" i="6" s="1"/>
  <c r="I8" i="6"/>
  <c r="H9" i="6"/>
  <c r="H6" i="6" l="1"/>
  <c r="I7" i="6"/>
  <c r="H10" i="6"/>
  <c r="I9" i="6"/>
  <c r="I10" i="6" l="1"/>
  <c r="H11" i="6"/>
  <c r="I6" i="6"/>
  <c r="H5" i="6"/>
  <c r="H4" i="6" l="1"/>
  <c r="I5" i="6"/>
  <c r="I11" i="6"/>
  <c r="H12" i="6"/>
  <c r="I12" i="6" l="1"/>
  <c r="H13" i="6"/>
  <c r="H3" i="6"/>
  <c r="I4" i="6"/>
  <c r="I3" i="6" l="1"/>
  <c r="R4" i="6" s="1"/>
  <c r="F2" i="7" s="1"/>
  <c r="R5" i="6"/>
  <c r="F3" i="7" s="1"/>
  <c r="H14" i="6"/>
  <c r="I13" i="6"/>
  <c r="R6" i="6" s="1"/>
  <c r="F4" i="7" s="1"/>
  <c r="I14" i="6" l="1"/>
  <c r="R7" i="6" s="1"/>
  <c r="F5" i="7" s="1"/>
  <c r="G2" i="7"/>
  <c r="K2" i="7" l="1"/>
  <c r="H2" i="7"/>
  <c r="I2" i="7" l="1"/>
  <c r="G3" i="7" s="1"/>
  <c r="J2" i="7"/>
  <c r="F6" i="7" s="1"/>
  <c r="G14" i="8"/>
  <c r="L2" i="7"/>
  <c r="K3" i="7" l="1"/>
  <c r="H3" i="7"/>
  <c r="I3" i="7" l="1"/>
  <c r="G4" i="7" s="1"/>
  <c r="J3" i="7"/>
  <c r="F7" i="7" s="1"/>
  <c r="G15" i="8"/>
  <c r="L3" i="7"/>
  <c r="K4" i="7" l="1"/>
  <c r="H4" i="7"/>
  <c r="I4" i="7" l="1"/>
  <c r="G5" i="7" s="1"/>
  <c r="J4" i="7"/>
  <c r="G16" i="8"/>
  <c r="L4" i="7"/>
  <c r="K5" i="7" l="1"/>
  <c r="H5" i="7"/>
  <c r="I5" i="7" l="1"/>
  <c r="G20" i="8" s="1"/>
  <c r="J5" i="7"/>
  <c r="G6" i="7"/>
  <c r="L5" i="7"/>
  <c r="N3" i="7" s="1"/>
  <c r="T6" i="9" s="1"/>
  <c r="G17" i="8"/>
  <c r="K6" i="7" l="1"/>
  <c r="H6" i="7"/>
  <c r="G21" i="8"/>
  <c r="G19" i="8"/>
  <c r="I6" i="7" l="1"/>
  <c r="G7" i="7" s="1"/>
  <c r="K7" i="7" s="1"/>
  <c r="J6" i="7"/>
  <c r="G18" i="8"/>
  <c r="E7" i="9" s="1"/>
  <c r="L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Nguyen Minh</author>
  </authors>
  <commentList>
    <comment ref="I3" authorId="0" shapeId="0" xr:uid="{68F3779C-B61A-4BC7-AAAB-F4D2902D7881}">
      <text>
        <r>
          <rPr>
            <sz val="9"/>
            <color indexed="81"/>
            <rFont val="Tahoma"/>
            <family val="2"/>
          </rPr>
          <t xml:space="preserve">If the product is already in the table, new row with auto-filled </t>
        </r>
        <r>
          <rPr>
            <b/>
            <sz val="9"/>
            <color indexed="81"/>
            <rFont val="Tahoma"/>
            <family val="2"/>
          </rPr>
          <t>Product,</t>
        </r>
        <r>
          <rPr>
            <sz val="9"/>
            <color indexed="81"/>
            <rFont val="Tahoma"/>
            <family val="2"/>
          </rPr>
          <t xml:space="preserve"> </t>
        </r>
        <r>
          <rPr>
            <b/>
            <sz val="9"/>
            <color indexed="81"/>
            <rFont val="Tahoma"/>
            <family val="2"/>
          </rPr>
          <t>Year,</t>
        </r>
        <r>
          <rPr>
            <sz val="9"/>
            <color indexed="81"/>
            <rFont val="Tahoma"/>
            <family val="2"/>
          </rPr>
          <t xml:space="preserve"> </t>
        </r>
        <r>
          <rPr>
            <b/>
            <sz val="9"/>
            <color indexed="81"/>
            <rFont val="Tahoma"/>
            <family val="2"/>
          </rPr>
          <t>Quarter,</t>
        </r>
        <r>
          <rPr>
            <sz val="9"/>
            <color indexed="81"/>
            <rFont val="Tahoma"/>
            <family val="2"/>
          </rPr>
          <t xml:space="preserve"> </t>
        </r>
        <r>
          <rPr>
            <b/>
            <sz val="9"/>
            <color indexed="81"/>
            <rFont val="Tahoma"/>
            <family val="2"/>
          </rPr>
          <t>Time Period</t>
        </r>
        <r>
          <rPr>
            <sz val="9"/>
            <color indexed="81"/>
            <rFont val="Tahoma"/>
            <family val="2"/>
          </rPr>
          <t xml:space="preserve"> is added based on the most recent information for that product.
If the product isn't listed yet, you'll need to manually enter its information.
It's recommended to automatically pull data from the system to minimise errors.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Nguyen Minh</author>
  </authors>
  <commentList>
    <comment ref="N3" authorId="0" shapeId="0" xr:uid="{A3923384-B5FD-4665-8903-0BB279463563}">
      <text>
        <r>
          <rPr>
            <sz val="9"/>
            <color indexed="81"/>
            <rFont val="Tahoma"/>
            <family val="2"/>
          </rPr>
          <t xml:space="preserve">Consider using SOLVER to optimise parameters (alpha,beta,gamma) when more historical forecasting data available
</t>
        </r>
      </text>
    </comment>
    <comment ref="E6" authorId="0" shapeId="0" xr:uid="{48CC7FF0-F1CD-43C0-A8E1-E30E1E25DDD5}">
      <text>
        <r>
          <rPr>
            <b/>
            <sz val="9"/>
            <color indexed="81"/>
            <rFont val="Tahoma"/>
            <family val="2"/>
          </rPr>
          <t>Fake data</t>
        </r>
        <r>
          <rPr>
            <sz val="9"/>
            <color indexed="81"/>
            <rFont val="Tahoma"/>
            <family val="2"/>
          </rPr>
          <t xml:space="preserve"> (red ink) to see how the new observed data is generated, and the calculations on Level, Trend, Seasonality could be done automatically by changing VBA of the current button</t>
        </r>
      </text>
    </comment>
    <comment ref="N9" authorId="0" shapeId="0" xr:uid="{FE9EC012-F9EA-48FD-B3FD-5C3ADC3FA20C}">
      <text>
        <r>
          <rPr>
            <sz val="9"/>
            <color indexed="81"/>
            <rFont val="Tahoma"/>
            <family val="2"/>
          </rPr>
          <t xml:space="preserve">This button fetches the </t>
        </r>
        <r>
          <rPr>
            <b/>
            <sz val="9"/>
            <color indexed="81"/>
            <rFont val="Tahoma"/>
            <family val="2"/>
          </rPr>
          <t xml:space="preserve">new observed data </t>
        </r>
        <r>
          <rPr>
            <sz val="9"/>
            <color indexed="81"/>
            <rFont val="Tahoma"/>
            <family val="2"/>
          </rPr>
          <t xml:space="preserve">(actual sales) from </t>
        </r>
        <r>
          <rPr>
            <b/>
            <sz val="9"/>
            <color indexed="81"/>
            <rFont val="Tahoma"/>
            <family val="2"/>
          </rPr>
          <t>Data input</t>
        </r>
        <r>
          <rPr>
            <sz val="9"/>
            <color indexed="81"/>
            <rFont val="Tahoma"/>
            <family val="2"/>
          </rPr>
          <t xml:space="preserve">, but the calculation formulas need to be done manually (by dragging the row)
=&gt; Can update the code to auto-fill appropriate values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Nguyen Minh</author>
  </authors>
  <commentList>
    <comment ref="F2" authorId="0" shapeId="0" xr:uid="{088CD7A0-1BAB-489D-AE11-0B21656096CE}">
      <text>
        <r>
          <rPr>
            <b/>
            <sz val="9"/>
            <color indexed="81"/>
            <rFont val="Tahoma"/>
            <family val="2"/>
          </rPr>
          <t xml:space="preserve">Step 1: </t>
        </r>
        <r>
          <rPr>
            <sz val="9"/>
            <color indexed="81"/>
            <rFont val="Tahoma"/>
            <family val="2"/>
          </rPr>
          <t xml:space="preserve">
* De-seasonlise the data and detect trend using Moving Average to smooth across all seasons (quarter)
* Associate the calculated average with the "centre" time-step (i.e quarter 2).
* Calculate the average "Deseasonalised level" </t>
        </r>
        <r>
          <rPr>
            <b/>
            <sz val="9"/>
            <color indexed="81"/>
            <rFont val="Tahoma"/>
            <family val="2"/>
          </rPr>
          <t>(put in Cell M4)</t>
        </r>
        <r>
          <rPr>
            <sz val="9"/>
            <color indexed="81"/>
            <rFont val="Tahoma"/>
            <family val="2"/>
          </rPr>
          <t xml:space="preserve"> to define the value of the mid point of the deseasonalised trend data </t>
        </r>
        <r>
          <rPr>
            <b/>
            <sz val="9"/>
            <color indexed="81"/>
            <rFont val="Tahoma"/>
            <family val="2"/>
          </rPr>
          <t>(in Step 3)</t>
        </r>
      </text>
    </comment>
    <comment ref="G2" authorId="0" shapeId="0" xr:uid="{58BAD569-4C88-422C-93F2-4BFFA0464B97}">
      <text>
        <r>
          <rPr>
            <b/>
            <sz val="9"/>
            <color indexed="81"/>
            <rFont val="Tahoma"/>
            <family val="2"/>
          </rPr>
          <t>Step 2:</t>
        </r>
        <r>
          <rPr>
            <sz val="9"/>
            <color indexed="81"/>
            <rFont val="Tahoma"/>
            <family val="2"/>
          </rPr>
          <t xml:space="preserve">
* As there is a linear trend, calculate the first difference/changes in the deseasonalised level from one period to the next, which will reveal the trend.
* Calculate the average change </t>
        </r>
        <r>
          <rPr>
            <b/>
            <sz val="9"/>
            <color indexed="81"/>
            <rFont val="Tahoma"/>
            <family val="2"/>
          </rPr>
          <t>(put in Cell N4)</t>
        </r>
        <r>
          <rPr>
            <sz val="9"/>
            <color indexed="81"/>
            <rFont val="Tahoma"/>
            <family val="2"/>
          </rPr>
          <t xml:space="preserve"> and use this as an approximation to the trend (i.e. the amount that the deasonailsed trend varies by, from one period to the next)</t>
        </r>
      </text>
    </comment>
    <comment ref="H2" authorId="0" shapeId="0" xr:uid="{ADDA14C2-A3EF-4005-BC62-9CA56EB69B10}">
      <text>
        <r>
          <rPr>
            <b/>
            <sz val="9"/>
            <color indexed="81"/>
            <rFont val="Tahoma"/>
            <family val="2"/>
          </rPr>
          <t>Step 3:</t>
        </r>
        <r>
          <rPr>
            <sz val="9"/>
            <color indexed="81"/>
            <rFont val="Tahoma"/>
            <family val="2"/>
          </rPr>
          <t xml:space="preserve">
*Assign the average deseasonalised level (</t>
        </r>
        <r>
          <rPr>
            <b/>
            <sz val="9"/>
            <color indexed="81"/>
            <rFont val="Tahoma"/>
            <family val="2"/>
          </rPr>
          <t>Cell M4</t>
        </r>
        <r>
          <rPr>
            <sz val="9"/>
            <color indexed="81"/>
            <rFont val="Tahoma"/>
            <family val="2"/>
          </rPr>
          <t>) to the middle of this trend-data column.
*Adjust from here towards the top and bottom of the column. Each time, iteratively adjust by a constant amount (</t>
        </r>
        <r>
          <rPr>
            <b/>
            <sz val="9"/>
            <color indexed="81"/>
            <rFont val="Tahoma"/>
            <family val="2"/>
          </rPr>
          <t>the average trend in Cell N4</t>
        </r>
        <r>
          <rPr>
            <sz val="9"/>
            <color indexed="81"/>
            <rFont val="Tahoma"/>
            <family val="2"/>
          </rPr>
          <t>) to account for the linear model.</t>
        </r>
      </text>
    </comment>
    <comment ref="I2" authorId="0" shapeId="0" xr:uid="{8C12A379-333F-4668-B760-3441A637CA9B}">
      <text>
        <r>
          <rPr>
            <b/>
            <sz val="9"/>
            <color indexed="81"/>
            <rFont val="Tahoma"/>
            <family val="2"/>
          </rPr>
          <t>Step 4:</t>
        </r>
        <r>
          <rPr>
            <sz val="9"/>
            <color indexed="81"/>
            <rFont val="Tahoma"/>
            <family val="2"/>
          </rPr>
          <t xml:space="preserve">
* Calculate the ratio (multiplicative model) between the observed value (actual sales) and the deseasonalised value to obtain an estimate of the seasonal adjustment.
* Calculate average seasonal ratios </t>
        </r>
        <r>
          <rPr>
            <b/>
            <sz val="9"/>
            <color indexed="81"/>
            <rFont val="Tahoma"/>
            <family val="2"/>
          </rPr>
          <t xml:space="preserve">(in Seasonal Index table - range P:R) </t>
        </r>
        <r>
          <rPr>
            <sz val="9"/>
            <color indexed="81"/>
            <rFont val="Tahoma"/>
            <family val="2"/>
          </rPr>
          <t>that will be used for the forecasting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Nguyen Minh</author>
  </authors>
  <commentList>
    <comment ref="G19" authorId="0" shapeId="0" xr:uid="{7570074D-A4EB-4625-B6CB-BFE00C69120D}">
      <text>
        <r>
          <rPr>
            <sz val="9"/>
            <color indexed="81"/>
            <rFont val="Tahoma"/>
            <family val="2"/>
          </rPr>
          <t xml:space="preserve">Forecasted value for 2018 use 1-4 step based on the lastest parameters of quarter 4-2017.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Nguyen Minh</author>
  </authors>
  <commentList>
    <comment ref="E11" authorId="0" shapeId="0" xr:uid="{7A8075E9-F19C-46E2-BB49-1FAA44F07A89}">
      <text>
        <r>
          <rPr>
            <b/>
            <sz val="9"/>
            <color indexed="81"/>
            <rFont val="Tahoma"/>
            <family val="2"/>
          </rPr>
          <t xml:space="preserve">Two filters </t>
        </r>
        <r>
          <rPr>
            <sz val="9"/>
            <color indexed="81"/>
            <rFont val="Tahoma"/>
            <family val="2"/>
          </rPr>
          <t>(Category, Product) can be used after applying the forecast to all products</t>
        </r>
      </text>
    </comment>
  </commentList>
</comments>
</file>

<file path=xl/sharedStrings.xml><?xml version="1.0" encoding="utf-8"?>
<sst xmlns="http://schemas.openxmlformats.org/spreadsheetml/2006/main" count="165" uniqueCount="50">
  <si>
    <t>X1-X12</t>
  </si>
  <si>
    <t>Quarter</t>
  </si>
  <si>
    <t>Year</t>
  </si>
  <si>
    <t>Sales</t>
  </si>
  <si>
    <t>2014-1</t>
  </si>
  <si>
    <t>2014-2</t>
  </si>
  <si>
    <t>2014-3</t>
  </si>
  <si>
    <t>2014-4</t>
  </si>
  <si>
    <t>2015-1</t>
  </si>
  <si>
    <t>2015-2</t>
  </si>
  <si>
    <t>2015-3</t>
  </si>
  <si>
    <t>2015-4</t>
  </si>
  <si>
    <t>2016-1</t>
  </si>
  <si>
    <t>2016-2</t>
  </si>
  <si>
    <t>2016-3</t>
  </si>
  <si>
    <t>2016-4</t>
  </si>
  <si>
    <t>2017-1</t>
  </si>
  <si>
    <t>2017-2</t>
  </si>
  <si>
    <t>2017-3</t>
  </si>
  <si>
    <t>2017-4</t>
  </si>
  <si>
    <t>Difference</t>
  </si>
  <si>
    <t>Deseasonalised trend</t>
  </si>
  <si>
    <t>Seasonal Index</t>
  </si>
  <si>
    <t>Time Period</t>
  </si>
  <si>
    <t>Parameter</t>
  </si>
  <si>
    <t>alpha</t>
  </si>
  <si>
    <t>Level</t>
  </si>
  <si>
    <t>Smoothed Trend (b)</t>
  </si>
  <si>
    <t>Smoothed Level (L)</t>
  </si>
  <si>
    <t>beta</t>
  </si>
  <si>
    <t>gamma</t>
  </si>
  <si>
    <t>Deseasonalised forecast (L+t)</t>
  </si>
  <si>
    <t>Smoothed seasonal index (S)</t>
  </si>
  <si>
    <t>Product</t>
  </si>
  <si>
    <t>X1</t>
  </si>
  <si>
    <t>2018-3</t>
  </si>
  <si>
    <t>2018-2</t>
  </si>
  <si>
    <t>2018-1</t>
  </si>
  <si>
    <t>Level and Trend</t>
  </si>
  <si>
    <t>There is note in each step highlighted in Yellow Orange</t>
  </si>
  <si>
    <t>MA(4)
Deseasonalised level</t>
  </si>
  <si>
    <t>Average trend</t>
  </si>
  <si>
    <t>Previous seasonal index</t>
  </si>
  <si>
    <t>Error</t>
  </si>
  <si>
    <t>Forecast</t>
  </si>
  <si>
    <t>Forecast 
(1-step ahead)</t>
  </si>
  <si>
    <t>RMSE</t>
  </si>
  <si>
    <t xml:space="preserve">Category </t>
  </si>
  <si>
    <t>MAD LTD. FORECASTING DASHBOARD</t>
  </si>
  <si>
    <t>Upcoming Quarter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</si>
</sst>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11"/>
      <color rgb="FFFF0000"/>
      <name val="Calibri"/>
      <family val="2"/>
      <scheme val="minor"/>
    </font>
    <font>
      <sz val="8"/>
      <name val="Calibri"/>
      <family val="2"/>
      <scheme val="minor"/>
    </font>
    <font>
      <sz val="9"/>
      <color indexed="81"/>
      <name val="Tahoma"/>
      <family val="2"/>
    </font>
    <font>
      <b/>
      <sz val="9"/>
      <color indexed="81"/>
      <name val="Tahoma"/>
      <family val="2"/>
    </font>
    <font>
      <b/>
      <sz val="11"/>
      <color rgb="FFFF0000"/>
      <name val="Calibri"/>
      <family val="2"/>
      <scheme val="minor"/>
    </font>
    <font>
      <b/>
      <sz val="11"/>
      <color theme="5" tint="-0.249977111117893"/>
      <name val="Calibri"/>
      <family val="2"/>
      <scheme val="minor"/>
    </font>
    <font>
      <sz val="11"/>
      <color rgb="FF000000"/>
      <name val="Calibri"/>
      <family val="2"/>
    </font>
    <font>
      <b/>
      <sz val="27"/>
      <color theme="1"/>
      <name val="Calibri"/>
      <family val="2"/>
      <scheme val="minor"/>
    </font>
    <font>
      <b/>
      <sz val="15"/>
      <color theme="1"/>
      <name val="Calibri"/>
      <family val="2"/>
      <scheme val="minor"/>
    </font>
    <font>
      <sz val="35"/>
      <color theme="1"/>
      <name val="Calibri"/>
      <family val="2"/>
      <scheme val="minor"/>
    </font>
    <font>
      <b/>
      <i/>
      <sz val="13"/>
      <color theme="7"/>
      <name val="Calibri"/>
      <family val="2"/>
      <scheme val="minor"/>
    </font>
    <font>
      <sz val="25"/>
      <color theme="1"/>
      <name val="Calibri"/>
      <family val="2"/>
      <scheme val="minor"/>
    </font>
    <font>
      <b/>
      <sz val="16"/>
      <color theme="1"/>
      <name val="Calibri"/>
      <family val="2"/>
      <scheme val="minor"/>
    </font>
  </fonts>
  <fills count="5">
    <fill>
      <patternFill patternType="none"/>
    </fill>
    <fill>
      <patternFill patternType="gray125"/>
    </fill>
    <fill>
      <patternFill patternType="solid">
        <fgColor theme="7"/>
        <bgColor indexed="64"/>
      </patternFill>
    </fill>
    <fill>
      <patternFill patternType="solid">
        <fgColor theme="9" tint="0.39997558519241921"/>
        <bgColor indexed="64"/>
      </patternFill>
    </fill>
    <fill>
      <patternFill patternType="solid">
        <fgColor theme="5"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theme="8"/>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top/>
      <bottom/>
      <diagonal/>
    </border>
    <border>
      <left/>
      <right style="thick">
        <color theme="8"/>
      </right>
      <top/>
      <bottom/>
      <diagonal/>
    </border>
    <border>
      <left style="thick">
        <color theme="8"/>
      </left>
      <right/>
      <top/>
      <bottom style="thick">
        <color theme="8"/>
      </bottom>
      <diagonal/>
    </border>
    <border>
      <left/>
      <right/>
      <top/>
      <bottom style="thick">
        <color theme="8"/>
      </bottom>
      <diagonal/>
    </border>
    <border>
      <left/>
      <right style="thick">
        <color theme="8"/>
      </right>
      <top/>
      <bottom style="thick">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8"/>
      </left>
      <right/>
      <top style="medium">
        <color theme="8"/>
      </top>
      <bottom style="medium">
        <color theme="8"/>
      </bottom>
      <diagonal/>
    </border>
    <border>
      <left/>
      <right style="medium">
        <color theme="8"/>
      </right>
      <top style="medium">
        <color theme="8"/>
      </top>
      <bottom style="medium">
        <color theme="8"/>
      </bottom>
      <diagonal/>
    </border>
  </borders>
  <cellStyleXfs count="1">
    <xf numFmtId="0" fontId="0" fillId="0" borderId="0"/>
  </cellStyleXfs>
  <cellXfs count="55">
    <xf numFmtId="0" fontId="0" fillId="0" borderId="0" xfId="0"/>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xf>
    <xf numFmtId="0" fontId="0" fillId="0" borderId="0" xfId="0" applyAlignment="1">
      <alignment vertical="center"/>
    </xf>
    <xf numFmtId="0" fontId="0" fillId="0" borderId="0" xfId="0" applyAlignment="1">
      <alignment horizontal="center" vertical="center"/>
    </xf>
    <xf numFmtId="2" fontId="0" fillId="0" borderId="0" xfId="0" applyNumberFormat="1" applyAlignment="1">
      <alignment vertical="center"/>
    </xf>
    <xf numFmtId="0" fontId="0" fillId="0" borderId="0" xfId="0" applyAlignment="1">
      <alignment vertical="center" wrapText="1"/>
    </xf>
    <xf numFmtId="0" fontId="7" fillId="0" borderId="0" xfId="0" applyFont="1" applyAlignment="1">
      <alignment vertical="center"/>
    </xf>
    <xf numFmtId="2" fontId="0" fillId="0" borderId="0" xfId="0" applyNumberFormat="1" applyAlignment="1">
      <alignment horizontal="center" vertical="center"/>
    </xf>
    <xf numFmtId="0" fontId="1" fillId="2" borderId="4" xfId="0" applyFont="1" applyFill="1" applyBorder="1" applyAlignment="1">
      <alignment horizontal="center" vertical="center"/>
    </xf>
    <xf numFmtId="0" fontId="1" fillId="2" borderId="3" xfId="0" applyFont="1" applyFill="1" applyBorder="1" applyAlignment="1">
      <alignment horizontal="center" vertical="center" wrapText="1"/>
    </xf>
    <xf numFmtId="0" fontId="1" fillId="2" borderId="2" xfId="0" applyFont="1" applyFill="1" applyBorder="1" applyAlignment="1">
      <alignment horizontal="center" vertical="center" wrapText="1"/>
    </xf>
    <xf numFmtId="2" fontId="6" fillId="0" borderId="0" xfId="0" applyNumberFormat="1" applyFont="1" applyAlignment="1">
      <alignment vertical="center"/>
    </xf>
    <xf numFmtId="1" fontId="0" fillId="0" borderId="0" xfId="0" applyNumberFormat="1" applyAlignment="1">
      <alignment vertical="center"/>
    </xf>
    <xf numFmtId="0" fontId="1" fillId="2" borderId="5" xfId="0" applyFont="1" applyFill="1" applyBorder="1" applyAlignment="1">
      <alignment vertical="center"/>
    </xf>
    <xf numFmtId="0" fontId="1" fillId="2" borderId="5" xfId="0" applyFont="1" applyFill="1" applyBorder="1" applyAlignment="1">
      <alignment horizontal="center" vertical="center"/>
    </xf>
    <xf numFmtId="0" fontId="0" fillId="0" borderId="0" xfId="0" applyAlignment="1">
      <alignment horizontal="center"/>
    </xf>
    <xf numFmtId="0" fontId="7" fillId="0" borderId="0" xfId="0" applyFont="1" applyAlignment="1">
      <alignment horizontal="center" vertical="center" wrapText="1"/>
    </xf>
    <xf numFmtId="0" fontId="0" fillId="0" borderId="8" xfId="0" applyBorder="1" applyAlignment="1">
      <alignment vertical="center" wrapText="1"/>
    </xf>
    <xf numFmtId="0" fontId="0" fillId="0" borderId="9"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1" fillId="2" borderId="1" xfId="0" applyFont="1" applyFill="1" applyBorder="1" applyAlignment="1">
      <alignment horizontal="center" vertical="center" wrapText="1"/>
    </xf>
    <xf numFmtId="0" fontId="2" fillId="0" borderId="0" xfId="0" applyFont="1" applyAlignment="1">
      <alignment horizontal="center" vertical="center"/>
    </xf>
    <xf numFmtId="0" fontId="1" fillId="3" borderId="0" xfId="0" applyFont="1" applyFill="1" applyAlignment="1">
      <alignment horizontal="center" vertical="center" wrapText="1"/>
    </xf>
    <xf numFmtId="1" fontId="0" fillId="0" borderId="0" xfId="0" applyNumberFormat="1" applyAlignment="1">
      <alignment horizontal="center" vertical="center"/>
    </xf>
    <xf numFmtId="1" fontId="1" fillId="4" borderId="0" xfId="0" applyNumberFormat="1" applyFont="1" applyFill="1" applyAlignment="1">
      <alignment horizontal="center" vertical="center"/>
    </xf>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2" fontId="2" fillId="0" borderId="0" xfId="0" applyNumberFormat="1" applyFont="1" applyAlignment="1">
      <alignment vertical="center"/>
    </xf>
    <xf numFmtId="1" fontId="2" fillId="0" borderId="0" xfId="0" applyNumberFormat="1" applyFont="1" applyAlignment="1">
      <alignment vertical="center"/>
    </xf>
    <xf numFmtId="0" fontId="7" fillId="0" borderId="6" xfId="0" applyFont="1" applyBorder="1" applyAlignment="1">
      <alignment horizontal="center" vertical="center"/>
    </xf>
    <xf numFmtId="0" fontId="7" fillId="0" borderId="7" xfId="0" applyFont="1" applyBorder="1" applyAlignment="1">
      <alignment horizontal="center" vertical="center"/>
    </xf>
    <xf numFmtId="0" fontId="7" fillId="0" borderId="1" xfId="0" applyFont="1" applyBorder="1" applyAlignment="1">
      <alignment horizontal="center" vertical="center"/>
    </xf>
    <xf numFmtId="0" fontId="14" fillId="0" borderId="24" xfId="0" applyFont="1" applyBorder="1" applyAlignment="1">
      <alignment horizontal="center" vertical="center"/>
    </xf>
    <xf numFmtId="0" fontId="14" fillId="0" borderId="25" xfId="0" applyFont="1" applyBorder="1" applyAlignment="1">
      <alignment horizontal="center" vertical="center"/>
    </xf>
    <xf numFmtId="1" fontId="13" fillId="0" borderId="20" xfId="0" applyNumberFormat="1" applyFont="1" applyBorder="1" applyAlignment="1">
      <alignment horizontal="center" vertical="center"/>
    </xf>
    <xf numFmtId="1" fontId="13" fillId="0" borderId="21" xfId="0" applyNumberFormat="1" applyFont="1" applyBorder="1" applyAlignment="1">
      <alignment horizontal="center" vertical="center"/>
    </xf>
    <xf numFmtId="1" fontId="13" fillId="0" borderId="22" xfId="0" applyNumberFormat="1" applyFont="1" applyBorder="1" applyAlignment="1">
      <alignment horizontal="center" vertical="center"/>
    </xf>
    <xf numFmtId="1" fontId="13" fillId="0" borderId="23" xfId="0" applyNumberFormat="1" applyFont="1" applyBorder="1" applyAlignment="1">
      <alignment horizontal="center" vertical="center"/>
    </xf>
    <xf numFmtId="0" fontId="10" fillId="0" borderId="12" xfId="0" applyFont="1" applyBorder="1" applyAlignment="1">
      <alignment horizontal="center"/>
    </xf>
    <xf numFmtId="0" fontId="10" fillId="0" borderId="13" xfId="0" applyFont="1" applyBorder="1" applyAlignment="1">
      <alignment horizontal="center"/>
    </xf>
    <xf numFmtId="0" fontId="10" fillId="0" borderId="14" xfId="0" applyFont="1" applyBorder="1" applyAlignment="1">
      <alignment horizontal="center"/>
    </xf>
    <xf numFmtId="0" fontId="9" fillId="2" borderId="0" xfId="0" applyFont="1" applyFill="1" applyAlignment="1">
      <alignment horizontal="center" vertical="center"/>
    </xf>
    <xf numFmtId="1" fontId="11" fillId="0" borderId="15" xfId="0" applyNumberFormat="1" applyFont="1" applyBorder="1" applyAlignment="1">
      <alignment horizontal="center" vertical="center"/>
    </xf>
    <xf numFmtId="1" fontId="11" fillId="0" borderId="0" xfId="0" applyNumberFormat="1" applyFont="1" applyAlignment="1">
      <alignment horizontal="center" vertical="center"/>
    </xf>
    <xf numFmtId="1" fontId="11" fillId="0" borderId="16" xfId="0" applyNumberFormat="1" applyFont="1" applyBorder="1" applyAlignment="1">
      <alignment horizontal="center" vertical="center"/>
    </xf>
    <xf numFmtId="1" fontId="11" fillId="0" borderId="17" xfId="0" applyNumberFormat="1" applyFont="1" applyBorder="1" applyAlignment="1">
      <alignment horizontal="center" vertical="center"/>
    </xf>
    <xf numFmtId="1" fontId="11" fillId="0" borderId="18" xfId="0" applyNumberFormat="1" applyFont="1" applyBorder="1" applyAlignment="1">
      <alignment horizontal="center" vertical="center"/>
    </xf>
    <xf numFmtId="1" fontId="11" fillId="0" borderId="19" xfId="0" applyNumberFormat="1" applyFont="1" applyBorder="1" applyAlignment="1">
      <alignment horizontal="center" vertical="center"/>
    </xf>
    <xf numFmtId="0" fontId="12" fillId="0" borderId="15" xfId="0" applyFont="1" applyBorder="1" applyAlignment="1">
      <alignment horizontal="center"/>
    </xf>
    <xf numFmtId="0" fontId="12" fillId="0" borderId="0" xfId="0" applyFont="1" applyAlignment="1">
      <alignment horizontal="center"/>
    </xf>
    <xf numFmtId="0" fontId="12" fillId="0" borderId="16" xfId="0" applyFont="1" applyBorder="1" applyAlignment="1">
      <alignment horizontal="center"/>
    </xf>
  </cellXfs>
  <cellStyles count="1">
    <cellStyle name="Normal" xfId="0" builtinId="0"/>
  </cellStyles>
  <dxfs count="32">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7"/>
        </patternFill>
      </fill>
      <alignment horizontal="center"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general"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border outline="0">
        <top style="thin">
          <color indexed="64"/>
        </top>
      </border>
    </dxf>
    <dxf>
      <alignment horizontal="general"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Actual</a:t>
            </a:r>
            <a:r>
              <a:rPr lang="en-US" b="1" baseline="0"/>
              <a:t> and </a:t>
            </a:r>
            <a:r>
              <a:rPr lang="en-US" b="1"/>
              <a:t>Forecasted</a:t>
            </a:r>
            <a:r>
              <a:rPr lang="en-US" b="1" baseline="0"/>
              <a: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'Final table'!$F$1</c:f>
              <c:strCache>
                <c:ptCount val="1"/>
                <c:pt idx="0">
                  <c:v>Sales</c:v>
                </c:pt>
              </c:strCache>
            </c:strRef>
          </c:tx>
          <c:spPr>
            <a:ln w="28575" cap="rnd">
              <a:solidFill>
                <a:schemeClr val="accent1"/>
              </a:solidFill>
              <a:round/>
            </a:ln>
            <a:effectLst/>
          </c:spPr>
          <c:marker>
            <c:symbol val="none"/>
          </c:marker>
          <c:cat>
            <c:strRef>
              <c:f>'Final table'!$E$2:$E$21</c:f>
              <c:strCache>
                <c:ptCount val="20"/>
                <c:pt idx="0">
                  <c:v>2014-1</c:v>
                </c:pt>
                <c:pt idx="1">
                  <c:v>2014-2</c:v>
                </c:pt>
                <c:pt idx="2">
                  <c:v>2014-3</c:v>
                </c:pt>
                <c:pt idx="3">
                  <c:v>2014-4</c:v>
                </c:pt>
                <c:pt idx="4">
                  <c:v>2015-1</c:v>
                </c:pt>
                <c:pt idx="5">
                  <c:v>2015-2</c:v>
                </c:pt>
                <c:pt idx="6">
                  <c:v>2015-3</c:v>
                </c:pt>
                <c:pt idx="7">
                  <c:v>2015-4</c:v>
                </c:pt>
                <c:pt idx="8">
                  <c:v>2016-1</c:v>
                </c:pt>
                <c:pt idx="9">
                  <c:v>2016-2</c:v>
                </c:pt>
                <c:pt idx="10">
                  <c:v>2016-3</c:v>
                </c:pt>
                <c:pt idx="11">
                  <c:v>2016-4</c:v>
                </c:pt>
                <c:pt idx="12">
                  <c:v>2017-1</c:v>
                </c:pt>
                <c:pt idx="13">
                  <c:v>2017-2</c:v>
                </c:pt>
                <c:pt idx="14">
                  <c:v>2017-3</c:v>
                </c:pt>
                <c:pt idx="15">
                  <c:v>2017-4</c:v>
                </c:pt>
                <c:pt idx="16">
                  <c:v>2018-1</c:v>
                </c:pt>
                <c:pt idx="17">
                  <c:v>2018-2</c:v>
                </c:pt>
                <c:pt idx="18">
                  <c:v>2018-3</c:v>
                </c:pt>
                <c:pt idx="19">
                  <c:v>2018-4</c:v>
                </c:pt>
              </c:strCache>
            </c:strRef>
          </c:cat>
          <c:val>
            <c:numRef>
              <c:f>'Final table'!$F$2:$F$21</c:f>
              <c:numCache>
                <c:formatCode>General</c:formatCode>
                <c:ptCount val="20"/>
                <c:pt idx="0">
                  <c:v>8</c:v>
                </c:pt>
                <c:pt idx="1">
                  <c:v>10</c:v>
                </c:pt>
                <c:pt idx="2">
                  <c:v>7</c:v>
                </c:pt>
                <c:pt idx="3">
                  <c:v>15</c:v>
                </c:pt>
                <c:pt idx="4">
                  <c:v>15</c:v>
                </c:pt>
                <c:pt idx="5">
                  <c:v>17</c:v>
                </c:pt>
                <c:pt idx="6">
                  <c:v>14</c:v>
                </c:pt>
                <c:pt idx="7">
                  <c:v>28</c:v>
                </c:pt>
                <c:pt idx="8">
                  <c:v>25</c:v>
                </c:pt>
                <c:pt idx="9">
                  <c:v>26</c:v>
                </c:pt>
                <c:pt idx="10">
                  <c:v>21</c:v>
                </c:pt>
                <c:pt idx="11">
                  <c:v>40</c:v>
                </c:pt>
                <c:pt idx="12">
                  <c:v>31</c:v>
                </c:pt>
                <c:pt idx="13">
                  <c:v>34</c:v>
                </c:pt>
                <c:pt idx="14">
                  <c:v>28</c:v>
                </c:pt>
                <c:pt idx="15">
                  <c:v>57</c:v>
                </c:pt>
              </c:numCache>
            </c:numRef>
          </c:val>
          <c:smooth val="0"/>
          <c:extLst>
            <c:ext xmlns:c16="http://schemas.microsoft.com/office/drawing/2014/chart" uri="{C3380CC4-5D6E-409C-BE32-E72D297353CC}">
              <c16:uniqueId val="{00000000-D42A-4C55-9814-311018F5C77A}"/>
            </c:ext>
          </c:extLst>
        </c:ser>
        <c:ser>
          <c:idx val="1"/>
          <c:order val="1"/>
          <c:tx>
            <c:strRef>
              <c:f>'Final table'!$G$1</c:f>
              <c:strCache>
                <c:ptCount val="1"/>
                <c:pt idx="0">
                  <c:v>Forecast</c:v>
                </c:pt>
              </c:strCache>
            </c:strRef>
          </c:tx>
          <c:spPr>
            <a:ln w="28575" cap="rnd">
              <a:solidFill>
                <a:schemeClr val="accent4"/>
              </a:solidFill>
              <a:round/>
            </a:ln>
            <a:effectLst/>
          </c:spPr>
          <c:marker>
            <c:symbol val="none"/>
          </c:marker>
          <c:dPt>
            <c:idx val="19"/>
            <c:marker>
              <c:symbol val="none"/>
            </c:marker>
            <c:bubble3D val="0"/>
            <c:extLst>
              <c:ext xmlns:c16="http://schemas.microsoft.com/office/drawing/2014/chart" uri="{C3380CC4-5D6E-409C-BE32-E72D297353CC}">
                <c16:uniqueId val="{00000002-D42A-4C55-9814-311018F5C77A}"/>
              </c:ext>
            </c:extLst>
          </c:dPt>
          <c:cat>
            <c:strRef>
              <c:f>'Final table'!$E$2:$E$21</c:f>
              <c:strCache>
                <c:ptCount val="20"/>
                <c:pt idx="0">
                  <c:v>2014-1</c:v>
                </c:pt>
                <c:pt idx="1">
                  <c:v>2014-2</c:v>
                </c:pt>
                <c:pt idx="2">
                  <c:v>2014-3</c:v>
                </c:pt>
                <c:pt idx="3">
                  <c:v>2014-4</c:v>
                </c:pt>
                <c:pt idx="4">
                  <c:v>2015-1</c:v>
                </c:pt>
                <c:pt idx="5">
                  <c:v>2015-2</c:v>
                </c:pt>
                <c:pt idx="6">
                  <c:v>2015-3</c:v>
                </c:pt>
                <c:pt idx="7">
                  <c:v>2015-4</c:v>
                </c:pt>
                <c:pt idx="8">
                  <c:v>2016-1</c:v>
                </c:pt>
                <c:pt idx="9">
                  <c:v>2016-2</c:v>
                </c:pt>
                <c:pt idx="10">
                  <c:v>2016-3</c:v>
                </c:pt>
                <c:pt idx="11">
                  <c:v>2016-4</c:v>
                </c:pt>
                <c:pt idx="12">
                  <c:v>2017-1</c:v>
                </c:pt>
                <c:pt idx="13">
                  <c:v>2017-2</c:v>
                </c:pt>
                <c:pt idx="14">
                  <c:v>2017-3</c:v>
                </c:pt>
                <c:pt idx="15">
                  <c:v>2017-4</c:v>
                </c:pt>
                <c:pt idx="16">
                  <c:v>2018-1</c:v>
                </c:pt>
                <c:pt idx="17">
                  <c:v>2018-2</c:v>
                </c:pt>
                <c:pt idx="18">
                  <c:v>2018-3</c:v>
                </c:pt>
                <c:pt idx="19">
                  <c:v>2018-4</c:v>
                </c:pt>
              </c:strCache>
            </c:strRef>
          </c:cat>
          <c:val>
            <c:numRef>
              <c:f>'Final table'!$G$2:$G$21</c:f>
              <c:numCache>
                <c:formatCode>General</c:formatCode>
                <c:ptCount val="20"/>
                <c:pt idx="12" formatCode="0">
                  <c:v>34.490744256648547</c:v>
                </c:pt>
                <c:pt idx="13" formatCode="0">
                  <c:v>34.719406353784223</c:v>
                </c:pt>
                <c:pt idx="14" formatCode="0">
                  <c:v>24.790874103245624</c:v>
                </c:pt>
                <c:pt idx="15" formatCode="0">
                  <c:v>48.220608435268772</c:v>
                </c:pt>
                <c:pt idx="16" formatCode="0">
                  <c:v>42.993989850898593</c:v>
                </c:pt>
                <c:pt idx="17" formatCode="0">
                  <c:v>45.769754800297015</c:v>
                </c:pt>
                <c:pt idx="18" formatCode="0">
                  <c:v>35.009033656920437</c:v>
                </c:pt>
                <c:pt idx="19" formatCode="0">
                  <c:v>67.376303897741948</c:v>
                </c:pt>
              </c:numCache>
            </c:numRef>
          </c:val>
          <c:smooth val="0"/>
          <c:extLst>
            <c:ext xmlns:c16="http://schemas.microsoft.com/office/drawing/2014/chart" uri="{C3380CC4-5D6E-409C-BE32-E72D297353CC}">
              <c16:uniqueId val="{00000001-D42A-4C55-9814-311018F5C77A}"/>
            </c:ext>
          </c:extLst>
        </c:ser>
        <c:dLbls>
          <c:showLegendKey val="0"/>
          <c:showVal val="0"/>
          <c:showCatName val="0"/>
          <c:showSerName val="0"/>
          <c:showPercent val="0"/>
          <c:showBubbleSize val="0"/>
        </c:dLbls>
        <c:smooth val="0"/>
        <c:axId val="1132737183"/>
        <c:axId val="1954763375"/>
      </c:lineChart>
      <c:catAx>
        <c:axId val="113273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954763375"/>
        <c:crosses val="autoZero"/>
        <c:auto val="1"/>
        <c:lblAlgn val="ctr"/>
        <c:lblOffset val="100"/>
        <c:noMultiLvlLbl val="0"/>
      </c:catAx>
      <c:valAx>
        <c:axId val="19547633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737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205740</xdr:colOff>
          <xdr:row>1</xdr:row>
          <xdr:rowOff>175260</xdr:rowOff>
        </xdr:from>
        <xdr:to>
          <xdr:col>9</xdr:col>
          <xdr:colOff>121920</xdr:colOff>
          <xdr:row>4</xdr:row>
          <xdr:rowOff>175260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 New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464820</xdr:colOff>
          <xdr:row>5</xdr:row>
          <xdr:rowOff>68580</xdr:rowOff>
        </xdr:from>
        <xdr:to>
          <xdr:col>14</xdr:col>
          <xdr:colOff>457200</xdr:colOff>
          <xdr:row>8</xdr:row>
          <xdr:rowOff>60960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New Data (Actual Sales)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373380</xdr:colOff>
      <xdr:row>4</xdr:row>
      <xdr:rowOff>0</xdr:rowOff>
    </xdr:from>
    <xdr:to>
      <xdr:col>17</xdr:col>
      <xdr:colOff>579120</xdr:colOff>
      <xdr:row>25</xdr:row>
      <xdr:rowOff>38100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472440</xdr:colOff>
      <xdr:row>9</xdr:row>
      <xdr:rowOff>137161</xdr:rowOff>
    </xdr:from>
    <xdr:to>
      <xdr:col>7</xdr:col>
      <xdr:colOff>129539</xdr:colOff>
      <xdr:row>13</xdr:row>
      <xdr:rowOff>83821</xdr:rowOff>
    </xdr:to>
    <mc:AlternateContent xmlns:mc="http://schemas.openxmlformats.org/markup-compatibility/2006" xmlns:sle15="http://schemas.microsoft.com/office/drawing/2012/slicer">
      <mc:Choice Requires="sle15">
        <xdr:graphicFrame macro="">
          <xdr:nvGraphicFramePr>
            <xdr:cNvPr id="3" name="Category ">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Category "/>
            </a:graphicData>
          </a:graphic>
        </xdr:graphicFrame>
      </mc:Choice>
      <mc:Fallback xmlns="">
        <xdr:sp macro="" textlink="">
          <xdr:nvSpPr>
            <xdr:cNvPr id="0" name=""/>
            <xdr:cNvSpPr>
              <a:spLocks noTextEdit="1"/>
            </xdr:cNvSpPr>
          </xdr:nvSpPr>
          <xdr:spPr>
            <a:xfrm>
              <a:off x="2301240" y="1958341"/>
              <a:ext cx="2263139" cy="685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464820</xdr:colOff>
      <xdr:row>13</xdr:row>
      <xdr:rowOff>114301</xdr:rowOff>
    </xdr:from>
    <xdr:to>
      <xdr:col>7</xdr:col>
      <xdr:colOff>121920</xdr:colOff>
      <xdr:row>16</xdr:row>
      <xdr:rowOff>175261</xdr:rowOff>
    </xdr:to>
    <mc:AlternateContent xmlns:mc="http://schemas.openxmlformats.org/markup-compatibility/2006" xmlns:sle15="http://schemas.microsoft.com/office/drawing/2012/slicer">
      <mc:Choice Requires="sle15">
        <xdr:graphicFrame macro="">
          <xdr:nvGraphicFramePr>
            <xdr:cNvPr id="5" name="Product">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293620" y="2674621"/>
              <a:ext cx="2263140" cy="609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464819</xdr:colOff>
      <xdr:row>17</xdr:row>
      <xdr:rowOff>45720</xdr:rowOff>
    </xdr:from>
    <xdr:to>
      <xdr:col>5</xdr:col>
      <xdr:colOff>325619</xdr:colOff>
      <xdr:row>25</xdr:row>
      <xdr:rowOff>22680</xdr:rowOff>
    </xdr:to>
    <mc:AlternateContent xmlns:mc="http://schemas.openxmlformats.org/markup-compatibility/2006" xmlns:sle15="http://schemas.microsoft.com/office/drawing/2012/slicer">
      <mc:Choice Requires="sle15">
        <xdr:graphicFrame macro="">
          <xdr:nvGraphicFramePr>
            <xdr:cNvPr id="6" name="Year">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293619" y="3337560"/>
              <a:ext cx="1080000" cy="1440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331762</xdr:colOff>
      <xdr:row>17</xdr:row>
      <xdr:rowOff>45721</xdr:rowOff>
    </xdr:from>
    <xdr:to>
      <xdr:col>7</xdr:col>
      <xdr:colOff>132922</xdr:colOff>
      <xdr:row>25</xdr:row>
      <xdr:rowOff>22681</xdr:rowOff>
    </xdr:to>
    <mc:AlternateContent xmlns:mc="http://schemas.openxmlformats.org/markup-compatibility/2006" xmlns:sle15="http://schemas.microsoft.com/office/drawing/2012/slicer">
      <mc:Choice Requires="sle15">
        <xdr:graphicFrame macro="">
          <xdr:nvGraphicFramePr>
            <xdr:cNvPr id="7" name="Quarter">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3379762" y="3337561"/>
              <a:ext cx="1188000" cy="1440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FD738-E40C-4091-8016-E6D6A4391665}" sourceName="Category ">
  <extLst>
    <x:ext xmlns:x15="http://schemas.microsoft.com/office/spreadsheetml/2010/11/main" uri="{2F2917AC-EB37-4324-AD4E-5DD8C200BD13}">
      <x15:tableSlicerCache tableId="4"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7AFF6023-95B3-439E-8607-A56C8737BE8D}" sourceName="Product">
  <extLst>
    <x:ext xmlns:x15="http://schemas.microsoft.com/office/spreadsheetml/2010/11/main" uri="{2F2917AC-EB37-4324-AD4E-5DD8C200BD13}">
      <x15:tableSlicerCache tableId="4"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35BCF6B-1D5E-4DA0-B65E-C5136603332E}" sourceName="Year">
  <extLst>
    <x:ext xmlns:x15="http://schemas.microsoft.com/office/spreadsheetml/2010/11/main" uri="{2F2917AC-EB37-4324-AD4E-5DD8C200BD13}">
      <x15:tableSlicerCache tableId="4"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834EBEEE-CFF6-4CEA-AD0D-0E8FE70BFB44}" sourceName="Quarter">
  <extLst>
    <x:ext xmlns:x15="http://schemas.microsoft.com/office/spreadsheetml/2010/11/main" uri="{2F2917AC-EB37-4324-AD4E-5DD8C200BD13}">
      <x15:tableSlicerCache tableId="4"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 xr10:uid="{412863C8-C451-4B21-9DFB-89734C0154A8}" cache="Slicer_Category" caption="Category " style="SlicerStyleOther2" rowHeight="234950"/>
  <slicer name="Product" xr10:uid="{D723A14C-A251-4BA0-AE18-FC414FF35908}" cache="Slicer_Product" caption="Product" style="SlicerStyleOther2" rowHeight="234950"/>
  <slicer name="Year" xr10:uid="{88444332-B9F0-4FC7-B221-7D3EAFFAC43C}" cache="Slicer_Year" caption="Year" style="SlicerStyleOther2" rowHeight="234950"/>
  <slicer name="Quarter" xr10:uid="{00356296-89D4-4DB6-82D2-6645490DFB3F}" cache="Slicer_Quarter" caption="Quarter"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A5618B-8AC7-4C56-936D-C8C7674F2863}" name="DataInput" displayName="DataInput" ref="A1:E20" totalsRowShown="0" headerRowDxfId="31" dataDxfId="29" headerRowBorderDxfId="30" tableBorderDxfId="28">
  <sortState xmlns:xlrd2="http://schemas.microsoft.com/office/spreadsheetml/2017/richdata2" ref="A2:E17">
    <sortCondition ref="D2:D17"/>
  </sortState>
  <tableColumns count="5">
    <tableColumn id="1" xr3:uid="{E7D6B6F7-4D74-4126-8C2A-7CC3DCFEFCEA}" name="Product" dataDxfId="27"/>
    <tableColumn id="2" xr3:uid="{CE3FB42D-486F-434D-83FF-3EA2D29D0C5C}" name="Year" dataDxfId="26"/>
    <tableColumn id="3" xr3:uid="{2E0A5E5D-A18B-4A22-B94C-0F512EF18F00}" name="Quarter" dataDxfId="25"/>
    <tableColumn id="4" xr3:uid="{F3046EB4-E3A1-4CAC-8151-027B6209F5F0}" name="Time Period" dataDxfId="24">
      <calculatedColumnFormula>_xlfn.CONCAT(B2,"-",C2)</calculatedColumnFormula>
    </tableColumn>
    <tableColumn id="5" xr3:uid="{50DB21E2-27FE-43D5-B2B4-CF388E8C8466}" name="Sales" dataDxfId="2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39CBBC-C1D0-406D-91CC-AF58501FCBDC}" name="Forecast" displayName="Forecast" ref="A1:L9" totalsRowShown="0" headerRowDxfId="22" dataDxfId="21">
  <tableColumns count="12">
    <tableColumn id="1" xr3:uid="{BC502B5D-3E84-4F4D-A143-C6AE49E43DDD}" name="Product" dataDxfId="20"/>
    <tableColumn id="2" xr3:uid="{8BEC3146-7CEC-42A6-97F1-BCAC72E75046}" name="Year" dataDxfId="19"/>
    <tableColumn id="3" xr3:uid="{301E76DD-EDFF-4581-BEA2-1E6FBD1EB860}" name="Quarter" dataDxfId="18"/>
    <tableColumn id="4" xr3:uid="{A4F7F419-A37F-4044-9730-7E762E8A9B8D}" name="Time Period" dataDxfId="17"/>
    <tableColumn id="5" xr3:uid="{4CE8200C-C50E-4328-8A66-0C0F39E3AAC6}" name="Sales" dataDxfId="16"/>
    <tableColumn id="13" xr3:uid="{210BE23B-A969-4423-88CA-8A0AD612228E}" name="Previous seasonal index" dataDxfId="15"/>
    <tableColumn id="6" xr3:uid="{5B3BE8A5-5F8F-4842-88F9-05621FB75528}" name="Deseasonalised forecast (L+t)" dataDxfId="14"/>
    <tableColumn id="7" xr3:uid="{38F3AFD1-DAD2-4C8E-8800-A93ECE9548F7}" name="Smoothed Level (L)" dataDxfId="13"/>
    <tableColumn id="8" xr3:uid="{429379A8-9126-4F70-8F2A-5D8DA803E1B4}" name="Smoothed Trend (b)" dataDxfId="12"/>
    <tableColumn id="9" xr3:uid="{12EB2313-32EA-4B62-A531-549C0DF8C307}" name="Smoothed seasonal index (S)" dataDxfId="11"/>
    <tableColumn id="18" xr3:uid="{8F210F6C-226C-4D0A-B4C1-3A14E89AB58B}" name="Forecast _x000a_(1-step ahead)" dataDxfId="10"/>
    <tableColumn id="19" xr3:uid="{06885FF0-AD6D-445B-8009-025CE05BF0EF}" name="Error" dataDxfId="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A79E8D-FC87-47E7-A674-C2DC0C925627}" name="FinalTable" displayName="FinalTable" ref="A1:G21" totalsRowShown="0" headerRowDxfId="8" dataDxfId="7">
  <autoFilter ref="A1:G21" xr:uid="{EBA79E8D-FC87-47E7-A674-C2DC0C925627}"/>
  <tableColumns count="7">
    <tableColumn id="1" xr3:uid="{4FE4DF25-A4A0-4616-9C48-3E46B9A74F7C}" name="Category " dataDxfId="6"/>
    <tableColumn id="2" xr3:uid="{9BF27938-7E1A-4B7A-8BDD-DC377E79F95A}" name="Product" dataDxfId="5"/>
    <tableColumn id="3" xr3:uid="{1BB6E995-6D16-4400-B592-B7E4DB3BF2DC}" name="Year" dataDxfId="4"/>
    <tableColumn id="4" xr3:uid="{E96287A6-742E-4F72-91C3-75B75E85FF4E}" name="Quarter" dataDxfId="3"/>
    <tableColumn id="5" xr3:uid="{1E47F1CC-5867-4C6F-887B-06AB2F0DC4A2}" name="Time Period" dataDxfId="2">
      <calculatedColumnFormula>_xlfn.CONCAT(C2,"-",D2)</calculatedColumnFormula>
    </tableColumn>
    <tableColumn id="6" xr3:uid="{4EDDC035-A3DD-4CD9-843E-AA4773AC2429}" name="Sales" dataDxfId="1"/>
    <tableColumn id="7" xr3:uid="{F758546E-ADB6-4FD7-BD8C-6A8E9D62DAA7}" name="Forecas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F506-050B-47C5-9A14-B38E12B65A8E}">
  <sheetPr codeName="Sheet3"/>
  <dimension ref="A1:I20"/>
  <sheetViews>
    <sheetView workbookViewId="0">
      <pane ySplit="1" topLeftCell="A2" activePane="bottomLeft" state="frozen"/>
      <selection pane="bottomLeft" activeCell="S4" sqref="S4"/>
    </sheetView>
  </sheetViews>
  <sheetFormatPr defaultRowHeight="14.4" x14ac:dyDescent="0.3"/>
  <cols>
    <col min="1" max="1" width="9.5546875" style="4" customWidth="1"/>
    <col min="2" max="2" width="8" style="4" customWidth="1"/>
    <col min="3" max="3" width="9.33203125" style="4" customWidth="1"/>
    <col min="4" max="4" width="11" style="4" bestFit="1" customWidth="1"/>
    <col min="5" max="5" width="9.6640625" style="5" bestFit="1" customWidth="1"/>
    <col min="6" max="8" width="8.88671875" style="4"/>
    <col min="9" max="9" width="4.77734375" style="4" customWidth="1"/>
    <col min="10" max="16384" width="8.88671875" style="4"/>
  </cols>
  <sheetData>
    <row r="1" spans="1:9" x14ac:dyDescent="0.3">
      <c r="A1" s="15" t="s">
        <v>33</v>
      </c>
      <c r="B1" s="16" t="s">
        <v>2</v>
      </c>
      <c r="C1" s="16" t="s">
        <v>1</v>
      </c>
      <c r="D1" s="15" t="s">
        <v>23</v>
      </c>
      <c r="E1" s="16" t="s">
        <v>3</v>
      </c>
    </row>
    <row r="2" spans="1:9" x14ac:dyDescent="0.3">
      <c r="A2" s="4" t="s">
        <v>34</v>
      </c>
      <c r="B2" s="5">
        <v>2014</v>
      </c>
      <c r="C2" s="5">
        <v>1</v>
      </c>
      <c r="D2" s="4" t="s">
        <v>4</v>
      </c>
      <c r="E2" s="5">
        <v>8</v>
      </c>
    </row>
    <row r="3" spans="1:9" x14ac:dyDescent="0.3">
      <c r="A3" s="4" t="s">
        <v>34</v>
      </c>
      <c r="B3" s="5">
        <v>2014</v>
      </c>
      <c r="C3" s="5">
        <v>2</v>
      </c>
      <c r="D3" s="4" t="s">
        <v>5</v>
      </c>
      <c r="E3" s="5">
        <v>10</v>
      </c>
    </row>
    <row r="4" spans="1:9" x14ac:dyDescent="0.3">
      <c r="A4" s="4" t="s">
        <v>34</v>
      </c>
      <c r="B4" s="5">
        <v>2014</v>
      </c>
      <c r="C4" s="5">
        <v>3</v>
      </c>
      <c r="D4" s="4" t="s">
        <v>6</v>
      </c>
      <c r="E4" s="5">
        <v>7</v>
      </c>
    </row>
    <row r="5" spans="1:9" x14ac:dyDescent="0.3">
      <c r="A5" s="4" t="s">
        <v>34</v>
      </c>
      <c r="B5" s="5">
        <v>2014</v>
      </c>
      <c r="C5" s="5">
        <v>4</v>
      </c>
      <c r="D5" s="4" t="s">
        <v>7</v>
      </c>
      <c r="E5" s="5">
        <v>15</v>
      </c>
    </row>
    <row r="6" spans="1:9" x14ac:dyDescent="0.3">
      <c r="A6" s="4" t="s">
        <v>34</v>
      </c>
      <c r="B6" s="5">
        <v>2015</v>
      </c>
      <c r="C6" s="5">
        <v>1</v>
      </c>
      <c r="D6" s="4" t="s">
        <v>8</v>
      </c>
      <c r="E6" s="5">
        <v>15</v>
      </c>
    </row>
    <row r="7" spans="1:9" x14ac:dyDescent="0.3">
      <c r="A7" s="4" t="s">
        <v>34</v>
      </c>
      <c r="B7" s="5">
        <v>2015</v>
      </c>
      <c r="C7" s="5">
        <v>2</v>
      </c>
      <c r="D7" s="4" t="s">
        <v>9</v>
      </c>
      <c r="E7" s="5">
        <v>17</v>
      </c>
    </row>
    <row r="8" spans="1:9" x14ac:dyDescent="0.3">
      <c r="A8" s="4" t="s">
        <v>34</v>
      </c>
      <c r="B8" s="5">
        <v>2015</v>
      </c>
      <c r="C8" s="5">
        <v>3</v>
      </c>
      <c r="D8" s="4" t="s">
        <v>10</v>
      </c>
      <c r="E8" s="5">
        <v>14</v>
      </c>
    </row>
    <row r="9" spans="1:9" x14ac:dyDescent="0.3">
      <c r="A9" s="4" t="s">
        <v>34</v>
      </c>
      <c r="B9" s="5">
        <v>2015</v>
      </c>
      <c r="C9" s="5">
        <v>4</v>
      </c>
      <c r="D9" s="4" t="s">
        <v>11</v>
      </c>
      <c r="E9" s="5">
        <v>28</v>
      </c>
    </row>
    <row r="10" spans="1:9" x14ac:dyDescent="0.3">
      <c r="A10" s="4" t="s">
        <v>34</v>
      </c>
      <c r="B10" s="5">
        <v>2016</v>
      </c>
      <c r="C10" s="5">
        <v>1</v>
      </c>
      <c r="D10" s="4" t="s">
        <v>12</v>
      </c>
      <c r="E10" s="5">
        <v>25</v>
      </c>
    </row>
    <row r="11" spans="1:9" x14ac:dyDescent="0.3">
      <c r="A11" s="4" t="s">
        <v>34</v>
      </c>
      <c r="B11" s="5">
        <v>2016</v>
      </c>
      <c r="C11" s="5">
        <v>2</v>
      </c>
      <c r="D11" s="4" t="s">
        <v>13</v>
      </c>
      <c r="E11" s="5">
        <v>26</v>
      </c>
    </row>
    <row r="12" spans="1:9" x14ac:dyDescent="0.3">
      <c r="A12" s="4" t="s">
        <v>34</v>
      </c>
      <c r="B12" s="5">
        <v>2016</v>
      </c>
      <c r="C12" s="5">
        <v>3</v>
      </c>
      <c r="D12" s="4" t="s">
        <v>14</v>
      </c>
      <c r="E12" s="5">
        <v>21</v>
      </c>
    </row>
    <row r="13" spans="1:9" x14ac:dyDescent="0.3">
      <c r="A13" s="4" t="s">
        <v>34</v>
      </c>
      <c r="B13" s="5">
        <v>2016</v>
      </c>
      <c r="C13" s="5">
        <v>4</v>
      </c>
      <c r="D13" s="4" t="s">
        <v>15</v>
      </c>
      <c r="E13" s="5">
        <v>40</v>
      </c>
    </row>
    <row r="14" spans="1:9" x14ac:dyDescent="0.3">
      <c r="A14" s="4" t="s">
        <v>34</v>
      </c>
      <c r="B14" s="5">
        <v>2017</v>
      </c>
      <c r="C14" s="5">
        <v>1</v>
      </c>
      <c r="D14" s="4" t="s">
        <v>16</v>
      </c>
      <c r="E14" s="5">
        <v>31</v>
      </c>
    </row>
    <row r="15" spans="1:9" x14ac:dyDescent="0.3">
      <c r="A15" s="4" t="s">
        <v>34</v>
      </c>
      <c r="B15" s="5">
        <v>2017</v>
      </c>
      <c r="C15" s="5">
        <v>2</v>
      </c>
      <c r="D15" s="4" t="s">
        <v>17</v>
      </c>
      <c r="E15" s="5">
        <v>34</v>
      </c>
    </row>
    <row r="16" spans="1:9" x14ac:dyDescent="0.3">
      <c r="A16" s="4" t="s">
        <v>34</v>
      </c>
      <c r="B16" s="5">
        <v>2017</v>
      </c>
      <c r="C16" s="5">
        <v>3</v>
      </c>
      <c r="D16" s="4" t="s">
        <v>18</v>
      </c>
      <c r="E16" s="5">
        <v>28</v>
      </c>
    </row>
    <row r="17" spans="1:5" x14ac:dyDescent="0.3">
      <c r="A17" s="4" t="s">
        <v>34</v>
      </c>
      <c r="B17" s="5">
        <v>2017</v>
      </c>
      <c r="C17" s="5">
        <v>4</v>
      </c>
      <c r="D17" s="4" t="s">
        <v>19</v>
      </c>
      <c r="E17" s="5">
        <v>57</v>
      </c>
    </row>
    <row r="18" spans="1:5" x14ac:dyDescent="0.3">
      <c r="A18" s="4" t="s">
        <v>34</v>
      </c>
      <c r="B18" s="5">
        <v>2018</v>
      </c>
      <c r="C18" s="5">
        <v>1</v>
      </c>
      <c r="D18" s="4" t="s">
        <v>37</v>
      </c>
      <c r="E18" s="5">
        <v>40</v>
      </c>
    </row>
    <row r="19" spans="1:5" x14ac:dyDescent="0.3">
      <c r="A19" s="4" t="s">
        <v>34</v>
      </c>
      <c r="B19" s="5">
        <v>2018</v>
      </c>
      <c r="C19" s="5">
        <v>2</v>
      </c>
      <c r="D19" s="4" t="s">
        <v>36</v>
      </c>
    </row>
    <row r="20" spans="1:5" x14ac:dyDescent="0.3">
      <c r="A20" s="4" t="s">
        <v>34</v>
      </c>
      <c r="B20" s="5">
        <v>2018</v>
      </c>
      <c r="C20" s="5">
        <v>3</v>
      </c>
      <c r="D20" s="4" t="s">
        <v>35</v>
      </c>
    </row>
  </sheetData>
  <sortState xmlns:xlrd2="http://schemas.microsoft.com/office/spreadsheetml/2017/richdata2" ref="B3:E17">
    <sortCondition descending="1" ref="D3:D1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NewData">
                <anchor>
                  <from>
                    <xdr:col>6</xdr:col>
                    <xdr:colOff>205740</xdr:colOff>
                    <xdr:row>1</xdr:row>
                    <xdr:rowOff>175260</xdr:rowOff>
                  </from>
                  <to>
                    <xdr:col>9</xdr:col>
                    <xdr:colOff>121920</xdr:colOff>
                    <xdr:row>4</xdr:row>
                    <xdr:rowOff>175260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C1107-9974-4538-B617-D15F102A715A}">
  <sheetPr codeName="Sheet5"/>
  <dimension ref="A1:Q9"/>
  <sheetViews>
    <sheetView tabSelected="1" topLeftCell="J1" workbookViewId="0">
      <selection activeCell="N3" sqref="N3"/>
    </sheetView>
  </sheetViews>
  <sheetFormatPr defaultRowHeight="14.4" x14ac:dyDescent="0.3"/>
  <cols>
    <col min="1" max="1" width="7.6640625" style="4" customWidth="1"/>
    <col min="2" max="2" width="8.88671875" style="5"/>
    <col min="3" max="3" width="9.33203125" style="5" customWidth="1"/>
    <col min="4" max="4" width="11" style="4" bestFit="1" customWidth="1"/>
    <col min="5" max="5" width="8.88671875" style="5"/>
    <col min="6" max="6" width="14.5546875" style="5" customWidth="1"/>
    <col min="7" max="7" width="13.88671875" style="4" bestFit="1" customWidth="1"/>
    <col min="8" max="8" width="12.44140625" style="4" customWidth="1"/>
    <col min="9" max="9" width="11.5546875" style="4" customWidth="1"/>
    <col min="10" max="10" width="17.21875" style="4" customWidth="1"/>
    <col min="11" max="11" width="15.33203125" style="4" customWidth="1"/>
    <col min="12" max="12" width="12" style="4" customWidth="1"/>
    <col min="13" max="13" width="6.88671875" style="4" customWidth="1"/>
    <col min="14" max="14" width="12" style="4" customWidth="1"/>
    <col min="15" max="15" width="8.88671875" style="4"/>
    <col min="16" max="16" width="9.77734375" style="4" bestFit="1" customWidth="1"/>
    <col min="17" max="16384" width="8.88671875" style="4"/>
  </cols>
  <sheetData>
    <row r="1" spans="1:17" ht="28.8" x14ac:dyDescent="0.3">
      <c r="A1" s="3" t="s">
        <v>33</v>
      </c>
      <c r="B1" s="1" t="s">
        <v>2</v>
      </c>
      <c r="C1" s="1" t="s">
        <v>1</v>
      </c>
      <c r="D1" s="3" t="s">
        <v>23</v>
      </c>
      <c r="E1" s="1" t="s">
        <v>3</v>
      </c>
      <c r="F1" s="18" t="s">
        <v>42</v>
      </c>
      <c r="G1" s="2" t="s">
        <v>31</v>
      </c>
      <c r="H1" s="23" t="s">
        <v>28</v>
      </c>
      <c r="I1" s="23" t="s">
        <v>27</v>
      </c>
      <c r="J1" s="23" t="s">
        <v>32</v>
      </c>
      <c r="K1" s="25" t="s">
        <v>45</v>
      </c>
      <c r="L1" s="2" t="s">
        <v>43</v>
      </c>
      <c r="M1" s="2"/>
      <c r="N1" s="2"/>
      <c r="P1" s="33" t="s">
        <v>24</v>
      </c>
      <c r="Q1" s="34"/>
    </row>
    <row r="2" spans="1:17" x14ac:dyDescent="0.3">
      <c r="A2" s="4" t="s">
        <v>34</v>
      </c>
      <c r="B2" s="5">
        <v>2017</v>
      </c>
      <c r="C2" s="5">
        <v>1</v>
      </c>
      <c r="D2" s="4" t="str">
        <f xml:space="preserve"> _xlfn.CONCAT(Forecast[[#This Row],[Year]], "-", Forecast[[#This Row],[Quarter]])</f>
        <v>2017-1</v>
      </c>
      <c r="E2" s="5">
        <v>31</v>
      </c>
      <c r="F2" s="9">
        <f>'IT-base model'!R4</f>
        <v>1.0078464230838862</v>
      </c>
      <c r="G2" s="6">
        <f>'IT-base model'!H14 + 'IT-base model'!N4</f>
        <v>34.222222222222221</v>
      </c>
      <c r="H2" s="6">
        <f>alpha*(Forecast[[#This Row],[Sales]]/Forecast[[#This Row],[Previous seasonal index]])+(1-alpha)*G2</f>
        <v>33.529508694308461</v>
      </c>
      <c r="I2" s="6">
        <f>beta*(H2-'IT-base model'!H14 )+(1-beta)*'IT-base model'!N4</f>
        <v>2.1114572944172481</v>
      </c>
      <c r="J2" s="6">
        <f>gamma*(Forecast[[#This Row],[Sales]]/Forecast[[#This Row],[Smoothed Level (L)]])+(1-gamma)*Forecast[[#This Row],[Previous seasonal index]]</f>
        <v>0.95787380766421171</v>
      </c>
      <c r="K2" s="14">
        <f>Forecast[[#This Row],[Deseasonalised forecast (L+t)]]*Forecast[[#This Row],[Previous seasonal index]]</f>
        <v>34.490744256648547</v>
      </c>
      <c r="L2" s="14">
        <f>Forecast[[#This Row],[Sales]]-Forecast[[#This Row],[Forecast 
(1-step ahead)]]</f>
        <v>-3.4907442566485472</v>
      </c>
      <c r="M2" s="14"/>
      <c r="N2" s="27" t="s">
        <v>46</v>
      </c>
      <c r="P2" s="19" t="s">
        <v>25</v>
      </c>
      <c r="Q2" s="20">
        <v>0.2</v>
      </c>
    </row>
    <row r="3" spans="1:17" x14ac:dyDescent="0.3">
      <c r="A3" s="4" t="s">
        <v>34</v>
      </c>
      <c r="B3" s="5">
        <v>2017</v>
      </c>
      <c r="C3" s="5">
        <v>2</v>
      </c>
      <c r="D3" s="4" t="str">
        <f xml:space="preserve"> _xlfn.CONCAT(Forecast[[#This Row],[Year]], "-", Forecast[[#This Row],[Quarter]])</f>
        <v>2017-2</v>
      </c>
      <c r="E3" s="5">
        <v>34</v>
      </c>
      <c r="F3" s="9">
        <f>'IT-base model'!R5</f>
        <v>0.97414324754180326</v>
      </c>
      <c r="G3" s="6">
        <f>H2+I2</f>
        <v>35.640965988725711</v>
      </c>
      <c r="H3" s="6">
        <f>alpha*(Forecast[[#This Row],[Sales]]/Forecast[[#This Row],[Previous seasonal index]])+(1-alpha)*G3</f>
        <v>35.493265667320294</v>
      </c>
      <c r="I3" s="6">
        <f>beta*(H3-H2)+(1-beta)*I2</f>
        <v>2.081917230136165</v>
      </c>
      <c r="J3" s="6">
        <f>gamma*(Forecast[[#This Row],[Sales]]/Forecast[[#This Row],[Smoothed Level (L)]])+(1-gamma)*Forecast[[#This Row],[Previous seasonal index]]</f>
        <v>0.96441421744766997</v>
      </c>
      <c r="K3" s="14">
        <f>Forecast[[#This Row],[Deseasonalised forecast (L+t)]]*Forecast[[#This Row],[Previous seasonal index]]</f>
        <v>34.719406353784223</v>
      </c>
      <c r="L3" s="14">
        <f>Forecast[[#This Row],[Sales]]-Forecast[[#This Row],[Forecast 
(1-step ahead)]]</f>
        <v>-0.71940635378422257</v>
      </c>
      <c r="M3" s="14"/>
      <c r="N3" s="26">
        <f>SQRT(AVERAGE(SUMSQ(L2:L5)))</f>
        <v>10.003951531034291</v>
      </c>
      <c r="P3" s="19" t="s">
        <v>29</v>
      </c>
      <c r="Q3" s="20">
        <v>0.2</v>
      </c>
    </row>
    <row r="4" spans="1:17" ht="15" thickBot="1" x14ac:dyDescent="0.35">
      <c r="A4" s="4" t="s">
        <v>34</v>
      </c>
      <c r="B4" s="5">
        <v>2017</v>
      </c>
      <c r="C4" s="5">
        <v>3</v>
      </c>
      <c r="D4" s="4" t="str">
        <f xml:space="preserve"> _xlfn.CONCAT(Forecast[[#This Row],[Year]], "-", Forecast[[#This Row],[Quarter]])</f>
        <v>2017-3</v>
      </c>
      <c r="E4" s="5">
        <v>28</v>
      </c>
      <c r="F4" s="9">
        <f>'IT-base model'!R6</f>
        <v>0.6597672237790696</v>
      </c>
      <c r="G4" s="6">
        <f t="shared" ref="G4:G5" si="0">H3+I3</f>
        <v>37.575182897456457</v>
      </c>
      <c r="H4" s="6">
        <f>alpha*(Forecast[[#This Row],[Sales]]/Forecast[[#This Row],[Previous seasonal index]])+(1-alpha)*G4</f>
        <v>38.547988390391644</v>
      </c>
      <c r="I4" s="6">
        <f>beta*(H4-H3)+(1-beta)*I3</f>
        <v>2.2764783287232024</v>
      </c>
      <c r="J4" s="6">
        <f>gamma*(Forecast[[#This Row],[Sales]]/Forecast[[#This Row],[Smoothed Level (L)]])+(1-gamma)*Forecast[[#This Row],[Previous seasonal index]]</f>
        <v>0.69972729678837997</v>
      </c>
      <c r="K4" s="14">
        <f>Forecast[[#This Row],[Deseasonalised forecast (L+t)]]*Forecast[[#This Row],[Previous seasonal index]]</f>
        <v>24.790874103245624</v>
      </c>
      <c r="L4" s="14">
        <f>Forecast[[#This Row],[Sales]]-Forecast[[#This Row],[Forecast 
(1-step ahead)]]</f>
        <v>3.2091258967543759</v>
      </c>
      <c r="M4" s="14"/>
      <c r="N4" s="14"/>
      <c r="P4" s="21" t="s">
        <v>30</v>
      </c>
      <c r="Q4" s="22">
        <v>0.6</v>
      </c>
    </row>
    <row r="5" spans="1:17" x14ac:dyDescent="0.3">
      <c r="A5" s="4" t="s">
        <v>34</v>
      </c>
      <c r="B5" s="5">
        <v>2017</v>
      </c>
      <c r="C5" s="5">
        <v>4</v>
      </c>
      <c r="D5" s="4" t="str">
        <f xml:space="preserve"> _xlfn.CONCAT(Forecast[[#This Row],[Year]], "-", Forecast[[#This Row],[Quarter]])</f>
        <v>2017-4</v>
      </c>
      <c r="E5" s="5">
        <v>57</v>
      </c>
      <c r="F5" s="9">
        <f>'IT-base model'!R7</f>
        <v>1.181169340607477</v>
      </c>
      <c r="G5" s="6">
        <f t="shared" si="0"/>
        <v>40.824466719114845</v>
      </c>
      <c r="H5" s="6">
        <f>alpha*(Forecast[[#This Row],[Sales]]/Forecast[[#This Row],[Previous seasonal index]])+(1-alpha)*G5</f>
        <v>42.311026057036024</v>
      </c>
      <c r="I5" s="6">
        <f>beta*(H5-H4)+(1-beta)*I4</f>
        <v>2.5737901963074381</v>
      </c>
      <c r="J5" s="6">
        <f>gamma*(Forecast[[#This Row],[Sales]]/Forecast[[#This Row],[Smoothed Level (L)]])+(1-gamma)*Forecast[[#This Row],[Previous seasonal index]]</f>
        <v>1.2807676804206098</v>
      </c>
      <c r="K5" s="14">
        <f>Forecast[[#This Row],[Deseasonalised forecast (L+t)]]*Forecast[[#This Row],[Previous seasonal index]]</f>
        <v>48.220608435268772</v>
      </c>
      <c r="L5" s="14">
        <f>Forecast[[#This Row],[Sales]]-Forecast[[#This Row],[Forecast 
(1-step ahead)]]</f>
        <v>8.7793915647312275</v>
      </c>
      <c r="M5" s="14"/>
      <c r="N5" s="14"/>
    </row>
    <row r="6" spans="1:17" x14ac:dyDescent="0.3">
      <c r="A6" s="4" t="s">
        <v>34</v>
      </c>
      <c r="B6" s="5">
        <v>2018</v>
      </c>
      <c r="C6" s="5">
        <v>1</v>
      </c>
      <c r="D6" s="4" t="str">
        <f xml:space="preserve"> _xlfn.CONCAT(Forecast[[#This Row],[Year]], "-", Forecast[[#This Row],[Quarter]])</f>
        <v>2018-1</v>
      </c>
      <c r="E6" s="24">
        <v>40</v>
      </c>
      <c r="F6" s="9">
        <f>J2</f>
        <v>0.95787380766421171</v>
      </c>
      <c r="G6" s="6">
        <f>H5+I5</f>
        <v>44.884816253343459</v>
      </c>
      <c r="H6" s="31">
        <f>alpha*(Forecast[[#This Row],[Sales]]/Forecast[[#This Row],[Previous seasonal index]])+(1-alpha)*G6</f>
        <v>44.259683834658901</v>
      </c>
      <c r="I6" s="31">
        <f>beta*(H6-H5)+(1-beta)*I5</f>
        <v>2.4487637125705262</v>
      </c>
      <c r="J6" s="31">
        <f>gamma*(Forecast[[#This Row],[Sales]]/Forecast[[#This Row],[Smoothed Level (L)]])+(1-gamma)*Forecast[[#This Row],[Previous seasonal index]]</f>
        <v>0.92540373549198462</v>
      </c>
      <c r="K6" s="14">
        <f>Forecast[[#This Row],[Deseasonalised forecast (L+t)]]*Forecast[[#This Row],[Previous seasonal index]]</f>
        <v>42.993989850898593</v>
      </c>
      <c r="L6" s="32">
        <f>Forecast[[#This Row],[Sales]]-Forecast[[#This Row],[Forecast 
(1-step ahead)]]</f>
        <v>-2.9939898508985934</v>
      </c>
      <c r="M6" s="14"/>
      <c r="N6" s="14"/>
    </row>
    <row r="7" spans="1:17" x14ac:dyDescent="0.3">
      <c r="A7" s="4" t="s">
        <v>34</v>
      </c>
      <c r="B7" s="5">
        <v>2018</v>
      </c>
      <c r="C7" s="5">
        <v>2</v>
      </c>
      <c r="D7" s="4" t="str">
        <f xml:space="preserve"> _xlfn.CONCAT(Forecast[[#This Row],[Year]], "-", Forecast[[#This Row],[Quarter]])</f>
        <v>2018-2</v>
      </c>
      <c r="E7" s="24"/>
      <c r="F7" s="9">
        <f>J3</f>
        <v>0.96441421744766997</v>
      </c>
      <c r="G7" s="31">
        <f>H6+I6</f>
        <v>46.708447547229426</v>
      </c>
      <c r="H7" s="6"/>
      <c r="I7" s="6"/>
      <c r="J7" s="6"/>
      <c r="K7" s="32">
        <f>Forecast[[#This Row],[Deseasonalised forecast (L+t)]]*Forecast[[#This Row],[Previous seasonal index]]</f>
        <v>45.046290889456806</v>
      </c>
      <c r="L7" s="6"/>
    </row>
    <row r="8" spans="1:17" x14ac:dyDescent="0.3">
      <c r="A8" s="4" t="s">
        <v>34</v>
      </c>
      <c r="B8" s="5">
        <v>2018</v>
      </c>
      <c r="C8" s="5">
        <v>3</v>
      </c>
      <c r="D8" s="4" t="str">
        <f xml:space="preserve"> _xlfn.CONCAT(Forecast[[#This Row],[Year]], "-", Forecast[[#This Row],[Quarter]])</f>
        <v>2018-3</v>
      </c>
      <c r="E8" s="24"/>
      <c r="F8" s="9"/>
      <c r="G8" s="6"/>
      <c r="H8" s="6"/>
      <c r="I8" s="6"/>
      <c r="J8" s="6"/>
      <c r="K8" s="6"/>
      <c r="L8" s="6"/>
    </row>
    <row r="9" spans="1:17" x14ac:dyDescent="0.3">
      <c r="A9" s="4" t="s">
        <v>34</v>
      </c>
      <c r="B9" s="5">
        <v>2018</v>
      </c>
      <c r="C9" s="5">
        <v>4</v>
      </c>
      <c r="D9" s="4" t="str">
        <f xml:space="preserve"> _xlfn.CONCAT(Forecast[[#This Row],[Year]], "-", Forecast[[#This Row],[Quarter]])</f>
        <v>2018-4</v>
      </c>
      <c r="E9" s="24"/>
      <c r="F9" s="9"/>
      <c r="G9" s="6"/>
      <c r="H9" s="6"/>
      <c r="I9" s="6"/>
      <c r="J9" s="6"/>
      <c r="K9" s="6"/>
      <c r="L9" s="6"/>
    </row>
  </sheetData>
  <mergeCells count="1">
    <mergeCell ref="P1:Q1"/>
  </mergeCells>
  <phoneticPr fontId="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UpdateForecastTable">
                <anchor>
                  <from>
                    <xdr:col>12</xdr:col>
                    <xdr:colOff>464820</xdr:colOff>
                    <xdr:row>5</xdr:row>
                    <xdr:rowOff>68580</xdr:rowOff>
                  </from>
                  <to>
                    <xdr:col>14</xdr:col>
                    <xdr:colOff>457200</xdr:colOff>
                    <xdr:row>8</xdr:row>
                    <xdr:rowOff>60960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2D02F-7569-45E0-924F-8B79D6F39B4E}">
  <sheetPr codeName="Sheet4"/>
  <dimension ref="A1:R15"/>
  <sheetViews>
    <sheetView topLeftCell="C2" workbookViewId="0">
      <selection activeCell="H14" sqref="H14"/>
    </sheetView>
  </sheetViews>
  <sheetFormatPr defaultRowHeight="14.4" x14ac:dyDescent="0.3"/>
  <cols>
    <col min="1" max="1" width="7.6640625" style="4" bestFit="1" customWidth="1"/>
    <col min="2" max="2" width="7.21875" style="5" customWidth="1"/>
    <col min="3" max="3" width="7.44140625" style="5" bestFit="1" customWidth="1"/>
    <col min="4" max="4" width="11" style="4" bestFit="1" customWidth="1"/>
    <col min="5" max="5" width="7.21875" style="4" customWidth="1"/>
    <col min="6" max="6" width="19.88671875" style="4" customWidth="1"/>
    <col min="7" max="7" width="13.21875" style="4" customWidth="1"/>
    <col min="8" max="8" width="15.5546875" style="4" customWidth="1"/>
    <col min="9" max="9" width="12.44140625" style="4" customWidth="1"/>
    <col min="10" max="11" width="8.88671875" style="4"/>
    <col min="12" max="12" width="8.44140625" style="4" customWidth="1"/>
    <col min="13" max="13" width="7.77734375" style="4" customWidth="1"/>
    <col min="14" max="14" width="12.88671875" style="4" bestFit="1" customWidth="1"/>
    <col min="15" max="17" width="8.88671875" style="4"/>
    <col min="18" max="18" width="13.6640625" style="4" bestFit="1" customWidth="1"/>
    <col min="19" max="16384" width="8.88671875" style="4"/>
  </cols>
  <sheetData>
    <row r="1" spans="1:18" ht="28.2" customHeight="1" x14ac:dyDescent="0.3">
      <c r="A1" s="8" t="s">
        <v>39</v>
      </c>
    </row>
    <row r="2" spans="1:18" ht="28.8" x14ac:dyDescent="0.3">
      <c r="A2" s="1" t="s">
        <v>33</v>
      </c>
      <c r="B2" s="1" t="s">
        <v>2</v>
      </c>
      <c r="C2" s="1" t="s">
        <v>1</v>
      </c>
      <c r="D2" s="3" t="s">
        <v>23</v>
      </c>
      <c r="E2" s="1" t="s">
        <v>3</v>
      </c>
      <c r="F2" s="12" t="s">
        <v>40</v>
      </c>
      <c r="G2" s="10" t="s">
        <v>20</v>
      </c>
      <c r="H2" s="11" t="s">
        <v>21</v>
      </c>
      <c r="I2" s="12" t="s">
        <v>22</v>
      </c>
      <c r="L2" s="35" t="s">
        <v>38</v>
      </c>
      <c r="M2" s="35"/>
      <c r="N2" s="35"/>
      <c r="P2" s="35" t="s">
        <v>22</v>
      </c>
      <c r="Q2" s="35"/>
      <c r="R2" s="35"/>
    </row>
    <row r="3" spans="1:18" x14ac:dyDescent="0.3">
      <c r="A3" s="4" t="s">
        <v>34</v>
      </c>
      <c r="B3" s="5">
        <v>2014</v>
      </c>
      <c r="C3" s="5">
        <v>1</v>
      </c>
      <c r="D3" s="4" t="s">
        <v>4</v>
      </c>
      <c r="E3" s="4">
        <v>8</v>
      </c>
      <c r="H3" s="6">
        <f>H4-$N$4</f>
        <v>7.2222222222222214</v>
      </c>
      <c r="I3" s="6">
        <f>E3/H3</f>
        <v>1.1076923076923078</v>
      </c>
      <c r="L3" s="3" t="s">
        <v>33</v>
      </c>
      <c r="M3" s="1" t="s">
        <v>26</v>
      </c>
      <c r="N3" s="1" t="s">
        <v>41</v>
      </c>
      <c r="P3" s="3" t="s">
        <v>33</v>
      </c>
      <c r="Q3" s="1" t="s">
        <v>1</v>
      </c>
      <c r="R3" s="1" t="s">
        <v>22</v>
      </c>
    </row>
    <row r="4" spans="1:18" x14ac:dyDescent="0.3">
      <c r="A4" s="4" t="s">
        <v>34</v>
      </c>
      <c r="B4" s="5">
        <v>2014</v>
      </c>
      <c r="C4" s="5">
        <v>2</v>
      </c>
      <c r="D4" s="4" t="s">
        <v>5</v>
      </c>
      <c r="E4" s="4">
        <v>10</v>
      </c>
      <c r="F4" s="4">
        <f>AVERAGE(E3:E6)</f>
        <v>10</v>
      </c>
      <c r="H4" s="6">
        <f>H5-$N$4</f>
        <v>9.4722222222222214</v>
      </c>
      <c r="I4" s="6">
        <f t="shared" ref="I4:I14" si="0">E4/H4</f>
        <v>1.055718475073314</v>
      </c>
      <c r="L4" s="4" t="s">
        <v>34</v>
      </c>
      <c r="M4" s="9">
        <f>AVERAGE(F4:F12)</f>
        <v>18.472222222222221</v>
      </c>
      <c r="N4" s="9">
        <f>AVERAGE(G5:G12)</f>
        <v>2.25</v>
      </c>
      <c r="P4" s="4" t="s">
        <v>34</v>
      </c>
      <c r="Q4" s="4">
        <v>1</v>
      </c>
      <c r="R4" s="6">
        <f>AVERAGE(I3,I7,I11)</f>
        <v>1.0078464230838862</v>
      </c>
    </row>
    <row r="5" spans="1:18" x14ac:dyDescent="0.3">
      <c r="A5" s="4" t="s">
        <v>34</v>
      </c>
      <c r="B5" s="5">
        <v>2014</v>
      </c>
      <c r="C5" s="5">
        <v>3</v>
      </c>
      <c r="D5" s="4" t="s">
        <v>6</v>
      </c>
      <c r="E5" s="4">
        <v>7</v>
      </c>
      <c r="F5" s="4">
        <f t="shared" ref="F5:F12" si="1">AVERAGE(E4:E7)</f>
        <v>11.75</v>
      </c>
      <c r="G5" s="4">
        <f>F5-F4</f>
        <v>1.75</v>
      </c>
      <c r="H5" s="6">
        <f>H6-$N$4</f>
        <v>11.722222222222221</v>
      </c>
      <c r="I5" s="6">
        <f t="shared" si="0"/>
        <v>0.59715639810426546</v>
      </c>
      <c r="P5" s="4" t="s">
        <v>34</v>
      </c>
      <c r="Q5" s="4">
        <v>2</v>
      </c>
      <c r="R5" s="6">
        <f>AVERAGE(I4,I8,I12)</f>
        <v>0.97414324754180326</v>
      </c>
    </row>
    <row r="6" spans="1:18" x14ac:dyDescent="0.3">
      <c r="A6" s="4" t="s">
        <v>34</v>
      </c>
      <c r="B6" s="5">
        <v>2014</v>
      </c>
      <c r="C6" s="5">
        <v>4</v>
      </c>
      <c r="D6" s="4" t="s">
        <v>7</v>
      </c>
      <c r="E6" s="4">
        <v>15</v>
      </c>
      <c r="F6" s="4">
        <f t="shared" si="1"/>
        <v>13.5</v>
      </c>
      <c r="G6" s="4">
        <f t="shared" ref="G6:G12" si="2">F6-F5</f>
        <v>1.75</v>
      </c>
      <c r="H6" s="6">
        <f>H7-$N$4</f>
        <v>13.972222222222221</v>
      </c>
      <c r="I6" s="6">
        <f t="shared" si="0"/>
        <v>1.0735586481113322</v>
      </c>
      <c r="P6" s="4" t="s">
        <v>34</v>
      </c>
      <c r="Q6" s="4">
        <v>3</v>
      </c>
      <c r="R6" s="6">
        <f>AVERAGE(I5,I9,I13)</f>
        <v>0.6597672237790696</v>
      </c>
    </row>
    <row r="7" spans="1:18" x14ac:dyDescent="0.3">
      <c r="A7" s="4" t="s">
        <v>34</v>
      </c>
      <c r="B7" s="5">
        <v>2015</v>
      </c>
      <c r="C7" s="5">
        <v>1</v>
      </c>
      <c r="D7" s="4" t="s">
        <v>8</v>
      </c>
      <c r="E7" s="4">
        <v>15</v>
      </c>
      <c r="F7" s="4">
        <f t="shared" si="1"/>
        <v>15.25</v>
      </c>
      <c r="G7" s="4">
        <f t="shared" si="2"/>
        <v>1.75</v>
      </c>
      <c r="H7" s="6">
        <f>H8-$N$4</f>
        <v>16.222222222222221</v>
      </c>
      <c r="I7" s="6">
        <f t="shared" si="0"/>
        <v>0.92465753424657537</v>
      </c>
      <c r="P7" s="4" t="s">
        <v>34</v>
      </c>
      <c r="Q7" s="4">
        <v>4</v>
      </c>
      <c r="R7" s="6">
        <f>AVERAGE(I6,I10,I14)</f>
        <v>1.181169340607477</v>
      </c>
    </row>
    <row r="8" spans="1:18" x14ac:dyDescent="0.3">
      <c r="A8" s="4" t="s">
        <v>34</v>
      </c>
      <c r="B8" s="5">
        <v>2015</v>
      </c>
      <c r="C8" s="5">
        <v>2</v>
      </c>
      <c r="D8" s="4" t="s">
        <v>9</v>
      </c>
      <c r="E8" s="4">
        <v>17</v>
      </c>
      <c r="F8" s="4">
        <f t="shared" si="1"/>
        <v>18.5</v>
      </c>
      <c r="G8" s="4">
        <f t="shared" si="2"/>
        <v>3.25</v>
      </c>
      <c r="H8" s="13">
        <f>M4</f>
        <v>18.472222222222221</v>
      </c>
      <c r="I8" s="6">
        <f t="shared" si="0"/>
        <v>0.92030075187969929</v>
      </c>
      <c r="K8" s="3"/>
    </row>
    <row r="9" spans="1:18" x14ac:dyDescent="0.3">
      <c r="A9" s="4" t="s">
        <v>34</v>
      </c>
      <c r="B9" s="5">
        <v>2015</v>
      </c>
      <c r="C9" s="5">
        <v>3</v>
      </c>
      <c r="D9" s="4" t="s">
        <v>10</v>
      </c>
      <c r="E9" s="4">
        <v>14</v>
      </c>
      <c r="F9" s="4">
        <f t="shared" si="1"/>
        <v>21</v>
      </c>
      <c r="G9" s="4">
        <f t="shared" si="2"/>
        <v>2.5</v>
      </c>
      <c r="H9" s="6">
        <f t="shared" ref="H9:H14" si="3">H8+$N$4</f>
        <v>20.722222222222221</v>
      </c>
      <c r="I9" s="6">
        <f t="shared" si="0"/>
        <v>0.67560321715817695</v>
      </c>
    </row>
    <row r="10" spans="1:18" x14ac:dyDescent="0.3">
      <c r="A10" s="4" t="s">
        <v>34</v>
      </c>
      <c r="B10" s="5">
        <v>2015</v>
      </c>
      <c r="C10" s="5">
        <v>4</v>
      </c>
      <c r="D10" s="4" t="s">
        <v>11</v>
      </c>
      <c r="E10" s="4">
        <v>28</v>
      </c>
      <c r="F10" s="4">
        <f t="shared" si="1"/>
        <v>23.25</v>
      </c>
      <c r="G10" s="4">
        <f t="shared" si="2"/>
        <v>2.25</v>
      </c>
      <c r="H10" s="6">
        <f t="shared" si="3"/>
        <v>22.972222222222221</v>
      </c>
      <c r="I10" s="6">
        <f t="shared" si="0"/>
        <v>1.2188633615477631</v>
      </c>
      <c r="K10" s="7"/>
    </row>
    <row r="11" spans="1:18" x14ac:dyDescent="0.3">
      <c r="A11" s="4" t="s">
        <v>34</v>
      </c>
      <c r="B11" s="5">
        <v>2016</v>
      </c>
      <c r="C11" s="5">
        <v>1</v>
      </c>
      <c r="D11" s="4" t="s">
        <v>12</v>
      </c>
      <c r="E11" s="4">
        <v>25</v>
      </c>
      <c r="F11" s="4">
        <f>AVERAGE(E10:E13)</f>
        <v>25</v>
      </c>
      <c r="G11" s="4">
        <f t="shared" si="2"/>
        <v>1.75</v>
      </c>
      <c r="H11" s="6">
        <f t="shared" si="3"/>
        <v>25.222222222222221</v>
      </c>
      <c r="I11" s="6">
        <f t="shared" si="0"/>
        <v>0.99118942731277537</v>
      </c>
    </row>
    <row r="12" spans="1:18" x14ac:dyDescent="0.3">
      <c r="A12" s="4" t="s">
        <v>34</v>
      </c>
      <c r="B12" s="5">
        <v>2016</v>
      </c>
      <c r="C12" s="5">
        <v>2</v>
      </c>
      <c r="D12" s="4" t="s">
        <v>13</v>
      </c>
      <c r="E12" s="4">
        <v>26</v>
      </c>
      <c r="F12" s="4">
        <f t="shared" si="1"/>
        <v>28</v>
      </c>
      <c r="G12" s="4">
        <f t="shared" si="2"/>
        <v>3</v>
      </c>
      <c r="H12" s="6">
        <f t="shared" si="3"/>
        <v>27.472222222222221</v>
      </c>
      <c r="I12" s="6">
        <f t="shared" si="0"/>
        <v>0.94641051567239642</v>
      </c>
    </row>
    <row r="13" spans="1:18" x14ac:dyDescent="0.3">
      <c r="A13" s="4" t="s">
        <v>34</v>
      </c>
      <c r="B13" s="5">
        <v>2016</v>
      </c>
      <c r="C13" s="5">
        <v>3</v>
      </c>
      <c r="D13" s="4" t="s">
        <v>14</v>
      </c>
      <c r="E13" s="4">
        <v>21</v>
      </c>
      <c r="H13" s="6">
        <f t="shared" si="3"/>
        <v>29.722222222222221</v>
      </c>
      <c r="I13" s="6">
        <f t="shared" si="0"/>
        <v>0.70654205607476639</v>
      </c>
    </row>
    <row r="14" spans="1:18" x14ac:dyDescent="0.3">
      <c r="A14" s="4" t="s">
        <v>34</v>
      </c>
      <c r="B14" s="5">
        <v>2016</v>
      </c>
      <c r="C14" s="5">
        <v>4</v>
      </c>
      <c r="D14" s="4" t="s">
        <v>15</v>
      </c>
      <c r="E14" s="4">
        <v>40</v>
      </c>
      <c r="H14" s="6">
        <f t="shared" si="3"/>
        <v>31.972222222222221</v>
      </c>
      <c r="I14" s="6">
        <f t="shared" si="0"/>
        <v>1.2510860121633363</v>
      </c>
    </row>
    <row r="15" spans="1:18" x14ac:dyDescent="0.3">
      <c r="H15" s="6"/>
      <c r="I15" s="6"/>
    </row>
  </sheetData>
  <mergeCells count="2">
    <mergeCell ref="L2:N2"/>
    <mergeCell ref="P2:R2"/>
  </mergeCells>
  <phoneticPr fontId="3"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82E-7D3A-415C-B649-F14D8883CA63}">
  <sheetPr codeName="Sheet6"/>
  <dimension ref="A1:G21"/>
  <sheetViews>
    <sheetView workbookViewId="0">
      <selection activeCell="N18" sqref="N18"/>
    </sheetView>
  </sheetViews>
  <sheetFormatPr defaultRowHeight="14.4" x14ac:dyDescent="0.3"/>
  <cols>
    <col min="1" max="1" width="14" style="17" customWidth="1"/>
    <col min="2" max="2" width="13" style="17" customWidth="1"/>
    <col min="3" max="3" width="10.77734375" style="17" customWidth="1"/>
    <col min="4" max="4" width="11.5546875" style="17" customWidth="1"/>
    <col min="5" max="5" width="17.44140625" customWidth="1"/>
    <col min="6" max="6" width="11" style="17" customWidth="1"/>
    <col min="7" max="7" width="13.44140625" style="17" customWidth="1"/>
  </cols>
  <sheetData>
    <row r="1" spans="1:7" x14ac:dyDescent="0.3">
      <c r="A1" s="29" t="s">
        <v>47</v>
      </c>
      <c r="B1" s="29" t="s">
        <v>33</v>
      </c>
      <c r="C1" s="29" t="s">
        <v>2</v>
      </c>
      <c r="D1" s="29" t="s">
        <v>1</v>
      </c>
      <c r="E1" s="30" t="s">
        <v>23</v>
      </c>
      <c r="F1" s="29" t="s">
        <v>3</v>
      </c>
      <c r="G1" s="29" t="s">
        <v>44</v>
      </c>
    </row>
    <row r="2" spans="1:7" x14ac:dyDescent="0.3">
      <c r="A2" s="5" t="s">
        <v>0</v>
      </c>
      <c r="B2" s="5" t="s">
        <v>34</v>
      </c>
      <c r="C2" s="5">
        <v>2014</v>
      </c>
      <c r="D2" s="5">
        <v>1</v>
      </c>
      <c r="E2" s="4" t="str">
        <f t="shared" ref="E2:E18" si="0">_xlfn.CONCAT(C2,"-",D2)</f>
        <v>2014-1</v>
      </c>
      <c r="F2" s="5">
        <v>8</v>
      </c>
      <c r="G2" s="5"/>
    </row>
    <row r="3" spans="1:7" x14ac:dyDescent="0.3">
      <c r="A3" s="5" t="s">
        <v>0</v>
      </c>
      <c r="B3" s="5" t="s">
        <v>34</v>
      </c>
      <c r="C3" s="5">
        <v>2014</v>
      </c>
      <c r="D3" s="5">
        <v>2</v>
      </c>
      <c r="E3" s="4" t="str">
        <f t="shared" si="0"/>
        <v>2014-2</v>
      </c>
      <c r="F3" s="5">
        <v>10</v>
      </c>
      <c r="G3" s="5"/>
    </row>
    <row r="4" spans="1:7" x14ac:dyDescent="0.3">
      <c r="A4" s="5" t="s">
        <v>0</v>
      </c>
      <c r="B4" s="5" t="s">
        <v>34</v>
      </c>
      <c r="C4" s="5">
        <v>2014</v>
      </c>
      <c r="D4" s="5">
        <v>3</v>
      </c>
      <c r="E4" s="4" t="str">
        <f t="shared" si="0"/>
        <v>2014-3</v>
      </c>
      <c r="F4" s="5">
        <v>7</v>
      </c>
      <c r="G4" s="5"/>
    </row>
    <row r="5" spans="1:7" x14ac:dyDescent="0.3">
      <c r="A5" s="5" t="s">
        <v>0</v>
      </c>
      <c r="B5" s="5" t="s">
        <v>34</v>
      </c>
      <c r="C5" s="5">
        <v>2014</v>
      </c>
      <c r="D5" s="5">
        <v>4</v>
      </c>
      <c r="E5" s="4" t="str">
        <f t="shared" si="0"/>
        <v>2014-4</v>
      </c>
      <c r="F5" s="5">
        <v>15</v>
      </c>
      <c r="G5" s="5"/>
    </row>
    <row r="6" spans="1:7" x14ac:dyDescent="0.3">
      <c r="A6" s="5" t="s">
        <v>0</v>
      </c>
      <c r="B6" s="5" t="s">
        <v>34</v>
      </c>
      <c r="C6" s="5">
        <v>2015</v>
      </c>
      <c r="D6" s="5">
        <v>1</v>
      </c>
      <c r="E6" s="4" t="str">
        <f t="shared" si="0"/>
        <v>2015-1</v>
      </c>
      <c r="F6" s="5">
        <v>15</v>
      </c>
      <c r="G6" s="5"/>
    </row>
    <row r="7" spans="1:7" x14ac:dyDescent="0.3">
      <c r="A7" s="5" t="s">
        <v>0</v>
      </c>
      <c r="B7" s="5" t="s">
        <v>34</v>
      </c>
      <c r="C7" s="5">
        <v>2015</v>
      </c>
      <c r="D7" s="5">
        <v>2</v>
      </c>
      <c r="E7" s="4" t="str">
        <f t="shared" si="0"/>
        <v>2015-2</v>
      </c>
      <c r="F7" s="5">
        <v>17</v>
      </c>
      <c r="G7" s="5"/>
    </row>
    <row r="8" spans="1:7" x14ac:dyDescent="0.3">
      <c r="A8" s="5" t="s">
        <v>0</v>
      </c>
      <c r="B8" s="5" t="s">
        <v>34</v>
      </c>
      <c r="C8" s="5">
        <v>2015</v>
      </c>
      <c r="D8" s="5">
        <v>3</v>
      </c>
      <c r="E8" s="4" t="str">
        <f t="shared" si="0"/>
        <v>2015-3</v>
      </c>
      <c r="F8" s="5">
        <v>14</v>
      </c>
      <c r="G8" s="5"/>
    </row>
    <row r="9" spans="1:7" x14ac:dyDescent="0.3">
      <c r="A9" s="5" t="s">
        <v>0</v>
      </c>
      <c r="B9" s="5" t="s">
        <v>34</v>
      </c>
      <c r="C9" s="5">
        <v>2015</v>
      </c>
      <c r="D9" s="5">
        <v>4</v>
      </c>
      <c r="E9" s="4" t="str">
        <f t="shared" si="0"/>
        <v>2015-4</v>
      </c>
      <c r="F9" s="5">
        <v>28</v>
      </c>
      <c r="G9" s="5"/>
    </row>
    <row r="10" spans="1:7" x14ac:dyDescent="0.3">
      <c r="A10" s="5" t="s">
        <v>0</v>
      </c>
      <c r="B10" s="5" t="s">
        <v>34</v>
      </c>
      <c r="C10" s="5">
        <v>2016</v>
      </c>
      <c r="D10" s="5">
        <v>1</v>
      </c>
      <c r="E10" s="4" t="str">
        <f t="shared" si="0"/>
        <v>2016-1</v>
      </c>
      <c r="F10" s="5">
        <v>25</v>
      </c>
      <c r="G10" s="5"/>
    </row>
    <row r="11" spans="1:7" x14ac:dyDescent="0.3">
      <c r="A11" s="5" t="s">
        <v>0</v>
      </c>
      <c r="B11" s="5" t="s">
        <v>34</v>
      </c>
      <c r="C11" s="5">
        <v>2016</v>
      </c>
      <c r="D11" s="5">
        <v>2</v>
      </c>
      <c r="E11" s="4" t="str">
        <f t="shared" si="0"/>
        <v>2016-2</v>
      </c>
      <c r="F11" s="5">
        <v>26</v>
      </c>
      <c r="G11" s="5"/>
    </row>
    <row r="12" spans="1:7" x14ac:dyDescent="0.3">
      <c r="A12" s="5" t="s">
        <v>0</v>
      </c>
      <c r="B12" s="5" t="s">
        <v>34</v>
      </c>
      <c r="C12" s="5">
        <v>2016</v>
      </c>
      <c r="D12" s="5">
        <v>3</v>
      </c>
      <c r="E12" s="4" t="str">
        <f t="shared" si="0"/>
        <v>2016-3</v>
      </c>
      <c r="F12" s="5">
        <v>21</v>
      </c>
      <c r="G12" s="5"/>
    </row>
    <row r="13" spans="1:7" x14ac:dyDescent="0.3">
      <c r="A13" s="5" t="s">
        <v>0</v>
      </c>
      <c r="B13" s="5" t="s">
        <v>34</v>
      </c>
      <c r="C13" s="5">
        <v>2016</v>
      </c>
      <c r="D13" s="5">
        <v>4</v>
      </c>
      <c r="E13" s="4" t="str">
        <f t="shared" si="0"/>
        <v>2016-4</v>
      </c>
      <c r="F13" s="5">
        <v>40</v>
      </c>
      <c r="G13" s="5"/>
    </row>
    <row r="14" spans="1:7" x14ac:dyDescent="0.3">
      <c r="A14" s="5" t="s">
        <v>0</v>
      </c>
      <c r="B14" s="5" t="s">
        <v>34</v>
      </c>
      <c r="C14" s="5">
        <v>2017</v>
      </c>
      <c r="D14" s="5">
        <v>1</v>
      </c>
      <c r="E14" s="4" t="str">
        <f t="shared" si="0"/>
        <v>2017-1</v>
      </c>
      <c r="F14" s="5">
        <v>31</v>
      </c>
      <c r="G14" s="26">
        <f>'IT-updating model'!K2</f>
        <v>34.490744256648547</v>
      </c>
    </row>
    <row r="15" spans="1:7" x14ac:dyDescent="0.3">
      <c r="A15" s="5" t="s">
        <v>0</v>
      </c>
      <c r="B15" s="5" t="s">
        <v>34</v>
      </c>
      <c r="C15" s="5">
        <v>2017</v>
      </c>
      <c r="D15" s="5">
        <v>2</v>
      </c>
      <c r="E15" s="4" t="str">
        <f t="shared" si="0"/>
        <v>2017-2</v>
      </c>
      <c r="F15" s="5">
        <v>34</v>
      </c>
      <c r="G15" s="26">
        <f>'IT-updating model'!K3</f>
        <v>34.719406353784223</v>
      </c>
    </row>
    <row r="16" spans="1:7" x14ac:dyDescent="0.3">
      <c r="A16" s="5" t="s">
        <v>0</v>
      </c>
      <c r="B16" s="5" t="s">
        <v>34</v>
      </c>
      <c r="C16" s="5">
        <v>2017</v>
      </c>
      <c r="D16" s="5">
        <v>3</v>
      </c>
      <c r="E16" s="4" t="str">
        <f t="shared" si="0"/>
        <v>2017-3</v>
      </c>
      <c r="F16" s="5">
        <v>28</v>
      </c>
      <c r="G16" s="26">
        <f>'IT-updating model'!K4</f>
        <v>24.790874103245624</v>
      </c>
    </row>
    <row r="17" spans="1:7" x14ac:dyDescent="0.3">
      <c r="A17" s="5" t="s">
        <v>0</v>
      </c>
      <c r="B17" s="5" t="s">
        <v>34</v>
      </c>
      <c r="C17" s="5">
        <v>2017</v>
      </c>
      <c r="D17" s="5">
        <v>4</v>
      </c>
      <c r="E17" s="4" t="str">
        <f t="shared" si="0"/>
        <v>2017-4</v>
      </c>
      <c r="F17" s="5">
        <v>57</v>
      </c>
      <c r="G17" s="26">
        <f>'IT-updating model'!K5</f>
        <v>48.220608435268772</v>
      </c>
    </row>
    <row r="18" spans="1:7" x14ac:dyDescent="0.3">
      <c r="A18" s="5" t="s">
        <v>0</v>
      </c>
      <c r="B18" s="5" t="s">
        <v>34</v>
      </c>
      <c r="C18" s="5">
        <v>2018</v>
      </c>
      <c r="D18" s="5">
        <v>1</v>
      </c>
      <c r="E18" s="4" t="str">
        <f t="shared" si="0"/>
        <v>2018-1</v>
      </c>
      <c r="F18" s="5"/>
      <c r="G18" s="26">
        <f>'IT-updating model'!K6</f>
        <v>42.993989850898593</v>
      </c>
    </row>
    <row r="19" spans="1:7" x14ac:dyDescent="0.3">
      <c r="A19" s="5" t="s">
        <v>0</v>
      </c>
      <c r="B19" s="5" t="s">
        <v>34</v>
      </c>
      <c r="C19" s="5">
        <v>2018</v>
      </c>
      <c r="D19" s="5">
        <v>2</v>
      </c>
      <c r="E19" s="4" t="str">
        <f>_xlfn.CONCAT(C19,"-",D19)</f>
        <v>2018-2</v>
      </c>
      <c r="F19" s="5"/>
      <c r="G19" s="26">
        <f>('IT-updating model'!$H$5+FinalTable[[#This Row],[Quarter]]*'IT-updating model'!$I$5)*'IT-updating model'!J3</f>
        <v>45.769754800297015</v>
      </c>
    </row>
    <row r="20" spans="1:7" x14ac:dyDescent="0.3">
      <c r="A20" s="5" t="s">
        <v>0</v>
      </c>
      <c r="B20" s="5" t="s">
        <v>34</v>
      </c>
      <c r="C20" s="5">
        <v>2018</v>
      </c>
      <c r="D20" s="5">
        <v>3</v>
      </c>
      <c r="E20" s="4" t="str">
        <f>_xlfn.CONCAT(C20,"-",D20)</f>
        <v>2018-3</v>
      </c>
      <c r="F20" s="5"/>
      <c r="G20" s="26">
        <f>('IT-updating model'!$H$5+FinalTable[[#This Row],[Quarter]]*'IT-updating model'!$I$5)*'IT-updating model'!J4</f>
        <v>35.009033656920437</v>
      </c>
    </row>
    <row r="21" spans="1:7" x14ac:dyDescent="0.3">
      <c r="A21" s="5" t="s">
        <v>0</v>
      </c>
      <c r="B21" s="5" t="s">
        <v>34</v>
      </c>
      <c r="C21" s="5">
        <v>2018</v>
      </c>
      <c r="D21" s="5">
        <v>4</v>
      </c>
      <c r="E21" s="4" t="str">
        <f>_xlfn.CONCAT(C21,"-",D21)</f>
        <v>2018-4</v>
      </c>
      <c r="F21" s="5"/>
      <c r="G21" s="26">
        <f>('IT-updating model'!$H$5+FinalTable[[#This Row],[Quarter]]*'IT-updating model'!$I$5)*'IT-updating model'!J5</f>
        <v>67.376303897741948</v>
      </c>
    </row>
  </sheetData>
  <phoneticPr fontId="3" type="noConversion"/>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FA227-35E8-4CB9-AC43-3F4D287BEA4F}">
  <sheetPr codeName="Sheet1"/>
  <dimension ref="E1:U11"/>
  <sheetViews>
    <sheetView showGridLines="0" zoomScaleNormal="100" workbookViewId="0">
      <selection activeCell="B16" sqref="B16"/>
    </sheetView>
  </sheetViews>
  <sheetFormatPr defaultRowHeight="14.4" x14ac:dyDescent="0.3"/>
  <cols>
    <col min="1" max="3" width="8.88671875" customWidth="1"/>
    <col min="5" max="5" width="8.88671875" customWidth="1"/>
    <col min="7" max="7" width="11.33203125" customWidth="1"/>
    <col min="8" max="8" width="6.109375" customWidth="1"/>
    <col min="19" max="19" width="4.5546875" customWidth="1"/>
  </cols>
  <sheetData>
    <row r="1" spans="5:21" s="28" customFormat="1" ht="14.4" customHeight="1" x14ac:dyDescent="0.3">
      <c r="E1" s="45" t="s">
        <v>48</v>
      </c>
      <c r="F1" s="45"/>
      <c r="G1" s="45"/>
      <c r="H1" s="45"/>
      <c r="I1" s="45"/>
      <c r="J1" s="45"/>
      <c r="K1" s="45"/>
      <c r="L1" s="45"/>
      <c r="M1" s="45"/>
    </row>
    <row r="2" spans="5:21" s="28" customFormat="1" ht="14.4" customHeight="1" x14ac:dyDescent="0.3">
      <c r="E2" s="45"/>
      <c r="F2" s="45"/>
      <c r="G2" s="45"/>
      <c r="H2" s="45"/>
      <c r="I2" s="45"/>
      <c r="J2" s="45"/>
      <c r="K2" s="45"/>
      <c r="L2" s="45"/>
      <c r="M2" s="45"/>
    </row>
    <row r="3" spans="5:21" s="28" customFormat="1" ht="14.4" customHeight="1" x14ac:dyDescent="0.3">
      <c r="E3" s="45"/>
      <c r="F3" s="45"/>
      <c r="G3" s="45"/>
      <c r="H3" s="45"/>
      <c r="I3" s="45"/>
      <c r="J3" s="45"/>
      <c r="K3" s="45"/>
      <c r="L3" s="45"/>
      <c r="M3" s="45"/>
    </row>
    <row r="4" spans="5:21" ht="15" thickBot="1" x14ac:dyDescent="0.35"/>
    <row r="5" spans="5:21" ht="22.2" thickTop="1" thickBot="1" x14ac:dyDescent="0.45">
      <c r="E5" s="42" t="s">
        <v>49</v>
      </c>
      <c r="F5" s="43"/>
      <c r="G5" s="44"/>
      <c r="T5" s="36" t="s">
        <v>46</v>
      </c>
      <c r="U5" s="37"/>
    </row>
    <row r="6" spans="5:21" ht="19.8" customHeight="1" x14ac:dyDescent="0.35">
      <c r="E6" s="52" t="str">
        <f>'Final table'!E18</f>
        <v>2018-1</v>
      </c>
      <c r="F6" s="53"/>
      <c r="G6" s="54"/>
      <c r="T6" s="38">
        <f>'IT-updating model'!N3</f>
        <v>10.003951531034291</v>
      </c>
      <c r="U6" s="39"/>
    </row>
    <row r="7" spans="5:21" ht="14.4" customHeight="1" x14ac:dyDescent="0.3">
      <c r="E7" s="46">
        <f>'Final table'!G18</f>
        <v>42.993989850898593</v>
      </c>
      <c r="F7" s="47"/>
      <c r="G7" s="48"/>
      <c r="T7" s="38"/>
      <c r="U7" s="39"/>
    </row>
    <row r="8" spans="5:21" ht="14.4" customHeight="1" thickBot="1" x14ac:dyDescent="0.35">
      <c r="E8" s="46"/>
      <c r="F8" s="47"/>
      <c r="G8" s="48"/>
      <c r="T8" s="40"/>
      <c r="U8" s="41"/>
    </row>
    <row r="9" spans="5:21" ht="14.4" customHeight="1" thickBot="1" x14ac:dyDescent="0.35">
      <c r="E9" s="49"/>
      <c r="F9" s="50"/>
      <c r="G9" s="51"/>
    </row>
    <row r="10" spans="5:21" ht="15" thickTop="1" x14ac:dyDescent="0.3"/>
    <row r="11" spans="5:21" x14ac:dyDescent="0.3"/>
  </sheetData>
  <mergeCells count="6">
    <mergeCell ref="T5:U5"/>
    <mergeCell ref="T6:U8"/>
    <mergeCell ref="E5:G5"/>
    <mergeCell ref="E1:M3"/>
    <mergeCell ref="E7:G9"/>
    <mergeCell ref="E6:G6"/>
  </mergeCells>
  <pageMargins left="0.7" right="0.7" top="0.75" bottom="0.75" header="0.3" footer="0.3"/>
  <drawing r:id="rId1"/>
  <legacyDrawing r:id="rId2"/>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Data input</vt:lpstr>
      <vt:lpstr>IT-updating model</vt:lpstr>
      <vt:lpstr>IT-base model</vt:lpstr>
      <vt:lpstr>Final table</vt:lpstr>
      <vt:lpstr>Visualisation</vt:lpstr>
      <vt:lpstr>alpha</vt:lpstr>
      <vt:lpstr>beta</vt:lpstr>
      <vt:lpstr>gamma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Minh</dc:creator>
  <cp:lastModifiedBy>Nguyen Minh Chau (Student)</cp:lastModifiedBy>
  <dcterms:created xsi:type="dcterms:W3CDTF">2015-06-05T18:17:20Z</dcterms:created>
  <dcterms:modified xsi:type="dcterms:W3CDTF">2024-03-15T15:51:49Z</dcterms:modified>
</cp:coreProperties>
</file>